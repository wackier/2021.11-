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4C99DC5-0D8E-46FD-83BF-07293820778B}" xr6:coauthVersionLast="47" xr6:coauthVersionMax="47" xr10:uidLastSave="{00000000-0000-0000-0000-000000000000}"/>
  <bookViews>
    <workbookView xWindow="-108" yWindow="-108" windowWidth="23256" windowHeight="12576" firstSheet="2" activeTab="2" xr2:uid="{00000000-000D-0000-FFFF-FFFF00000000}"/>
  </bookViews>
  <sheets>
    <sheet name="进攻得分" sheetId="4" r:id="rId1"/>
    <sheet name="防守得分" sheetId="6" r:id="rId2"/>
    <sheet name="篮网egular Season Table (2)" sheetId="10" r:id="rId3"/>
    <sheet name="湖人Regular Season Table (3)" sheetId="11" r:id="rId4"/>
    <sheet name="simulation" sheetId="8" r:id="rId5"/>
    <sheet name="最终结果" sheetId="7" r:id="rId6"/>
  </sheets>
  <definedNames>
    <definedName name="ExternalData_1" localSheetId="1" hidden="1">防守得分!$A$1:$H$31</definedName>
    <definedName name="ExternalData_1" localSheetId="3" hidden="1">'湖人Regular Season Table (3)'!$A$1:$AO$79</definedName>
    <definedName name="ExternalData_1" localSheetId="0" hidden="1">进攻得分!$A$1:$H$31</definedName>
    <definedName name="ExternalData_1" localSheetId="2" hidden="1">'篮网egular Season Table (2)'!$A$1:$AO$79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8" l="1"/>
  <c r="F8" i="7"/>
  <c r="E8" i="7"/>
  <c r="E2" i="8" s="1"/>
  <c r="E12" i="7"/>
  <c r="F21" i="8" s="1"/>
  <c r="F17" i="8"/>
  <c r="F19" i="8"/>
  <c r="F20" i="8"/>
  <c r="F25" i="8"/>
  <c r="F27" i="8"/>
  <c r="F28" i="8"/>
  <c r="F33" i="8"/>
  <c r="F35" i="8"/>
  <c r="F36" i="8"/>
  <c r="F41" i="8"/>
  <c r="F43" i="8"/>
  <c r="F44" i="8"/>
  <c r="F49" i="8"/>
  <c r="F51" i="8"/>
  <c r="F52" i="8"/>
  <c r="F57" i="8"/>
  <c r="F59" i="8"/>
  <c r="F60" i="8"/>
  <c r="F65" i="8"/>
  <c r="F67" i="8"/>
  <c r="F68" i="8"/>
  <c r="F73" i="8"/>
  <c r="F75" i="8"/>
  <c r="F76" i="8"/>
  <c r="F81" i="8"/>
  <c r="F83" i="8"/>
  <c r="F84" i="8"/>
  <c r="F86" i="8"/>
  <c r="F89" i="8"/>
  <c r="F91" i="8"/>
  <c r="F92" i="8"/>
  <c r="F94" i="8"/>
  <c r="F97" i="8"/>
  <c r="F99" i="8"/>
  <c r="F100" i="8"/>
  <c r="F102" i="8"/>
  <c r="F105" i="8"/>
  <c r="F107" i="8"/>
  <c r="F108" i="8"/>
  <c r="F110" i="8"/>
  <c r="F113" i="8"/>
  <c r="F115" i="8"/>
  <c r="F116" i="8"/>
  <c r="F118" i="8"/>
  <c r="F121" i="8"/>
  <c r="F123" i="8"/>
  <c r="F124" i="8"/>
  <c r="F126" i="8"/>
  <c r="F129" i="8"/>
  <c r="F131" i="8"/>
  <c r="F132" i="8"/>
  <c r="F134" i="8"/>
  <c r="F137" i="8"/>
  <c r="F139" i="8"/>
  <c r="F140" i="8"/>
  <c r="F142" i="8"/>
  <c r="F145" i="8"/>
  <c r="F147" i="8"/>
  <c r="F148" i="8"/>
  <c r="F150" i="8"/>
  <c r="F153" i="8"/>
  <c r="F155" i="8"/>
  <c r="F156" i="8"/>
  <c r="F158" i="8"/>
  <c r="F161" i="8"/>
  <c r="F163" i="8"/>
  <c r="F164" i="8"/>
  <c r="F166" i="8"/>
  <c r="F169" i="8"/>
  <c r="F171" i="8"/>
  <c r="F172" i="8"/>
  <c r="F174" i="8"/>
  <c r="F177" i="8"/>
  <c r="F179" i="8"/>
  <c r="F180" i="8"/>
  <c r="F182" i="8"/>
  <c r="F185" i="8"/>
  <c r="F187" i="8"/>
  <c r="F188" i="8"/>
  <c r="F190" i="8"/>
  <c r="F193" i="8"/>
  <c r="F195" i="8"/>
  <c r="F196" i="8"/>
  <c r="F198" i="8"/>
  <c r="F201" i="8"/>
  <c r="F203" i="8"/>
  <c r="F204" i="8"/>
  <c r="F206" i="8"/>
  <c r="F209" i="8"/>
  <c r="F211" i="8"/>
  <c r="F212" i="8"/>
  <c r="F214" i="8"/>
  <c r="F217" i="8"/>
  <c r="F219" i="8"/>
  <c r="F220" i="8"/>
  <c r="F222" i="8"/>
  <c r="F225" i="8"/>
  <c r="F227" i="8"/>
  <c r="F228" i="8"/>
  <c r="F230" i="8"/>
  <c r="F233" i="8"/>
  <c r="F235" i="8"/>
  <c r="F236" i="8"/>
  <c r="F238" i="8"/>
  <c r="F241" i="8"/>
  <c r="F243" i="8"/>
  <c r="F244" i="8"/>
  <c r="F246" i="8"/>
  <c r="F249" i="8"/>
  <c r="F251" i="8"/>
  <c r="F252" i="8"/>
  <c r="F254" i="8"/>
  <c r="F257" i="8"/>
  <c r="F259" i="8"/>
  <c r="F260" i="8"/>
  <c r="F262" i="8"/>
  <c r="F265" i="8"/>
  <c r="F267" i="8"/>
  <c r="F268" i="8"/>
  <c r="F270" i="8"/>
  <c r="F273" i="8"/>
  <c r="F275" i="8"/>
  <c r="F276" i="8"/>
  <c r="F278" i="8"/>
  <c r="F281" i="8"/>
  <c r="F283" i="8"/>
  <c r="F284" i="8"/>
  <c r="F286" i="8"/>
  <c r="F289" i="8"/>
  <c r="F291" i="8"/>
  <c r="F292" i="8"/>
  <c r="F294" i="8"/>
  <c r="F297" i="8"/>
  <c r="F299" i="8"/>
  <c r="F300" i="8"/>
  <c r="F302" i="8"/>
  <c r="F305" i="8"/>
  <c r="F307" i="8"/>
  <c r="F308" i="8"/>
  <c r="F310" i="8"/>
  <c r="F313" i="8"/>
  <c r="F315" i="8"/>
  <c r="F316" i="8"/>
  <c r="F317" i="8"/>
  <c r="F318" i="8"/>
  <c r="F320" i="8"/>
  <c r="F321" i="8"/>
  <c r="F323" i="8"/>
  <c r="F324" i="8"/>
  <c r="F325" i="8"/>
  <c r="F326" i="8"/>
  <c r="F328" i="8"/>
  <c r="F329" i="8"/>
  <c r="F331" i="8"/>
  <c r="F332" i="8"/>
  <c r="F333" i="8"/>
  <c r="F334" i="8"/>
  <c r="F336" i="8"/>
  <c r="F337" i="8"/>
  <c r="F339" i="8"/>
  <c r="F340" i="8"/>
  <c r="F341" i="8"/>
  <c r="F342" i="8"/>
  <c r="F344" i="8"/>
  <c r="F345" i="8"/>
  <c r="F347" i="8"/>
  <c r="F348" i="8"/>
  <c r="F349" i="8"/>
  <c r="F350" i="8"/>
  <c r="F352" i="8"/>
  <c r="F353" i="8"/>
  <c r="F355" i="8"/>
  <c r="F356" i="8"/>
  <c r="F357" i="8"/>
  <c r="F358" i="8"/>
  <c r="F360" i="8"/>
  <c r="F361" i="8"/>
  <c r="F363" i="8"/>
  <c r="F364" i="8"/>
  <c r="F365" i="8"/>
  <c r="F366" i="8"/>
  <c r="F368" i="8"/>
  <c r="F369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3" i="8"/>
  <c r="F4" i="8"/>
  <c r="F5" i="8"/>
  <c r="F6" i="8"/>
  <c r="F7" i="8"/>
  <c r="F8" i="8"/>
  <c r="F9" i="8"/>
  <c r="F10" i="8"/>
  <c r="F11" i="8"/>
  <c r="F12" i="8"/>
  <c r="F13" i="8"/>
  <c r="F12" i="7"/>
  <c r="G81" i="11"/>
  <c r="G81" i="10"/>
  <c r="D2" i="8" l="1"/>
  <c r="G2" i="8"/>
  <c r="F370" i="8"/>
  <c r="F362" i="8"/>
  <c r="F354" i="8"/>
  <c r="F346" i="8"/>
  <c r="F338" i="8"/>
  <c r="F330" i="8"/>
  <c r="F322" i="8"/>
  <c r="F314" i="8"/>
  <c r="F306" i="8"/>
  <c r="F298" i="8"/>
  <c r="F290" i="8"/>
  <c r="F282" i="8"/>
  <c r="F274" i="8"/>
  <c r="F266" i="8"/>
  <c r="F258" i="8"/>
  <c r="F250" i="8"/>
  <c r="F242" i="8"/>
  <c r="F234" i="8"/>
  <c r="F226" i="8"/>
  <c r="F218" i="8"/>
  <c r="F210" i="8"/>
  <c r="F202" i="8"/>
  <c r="F194" i="8"/>
  <c r="F186" i="8"/>
  <c r="F178" i="8"/>
  <c r="F170" i="8"/>
  <c r="F162" i="8"/>
  <c r="F154" i="8"/>
  <c r="F146" i="8"/>
  <c r="F138" i="8"/>
  <c r="F130" i="8"/>
  <c r="F122" i="8"/>
  <c r="F114" i="8"/>
  <c r="F106" i="8"/>
  <c r="F98" i="8"/>
  <c r="F90" i="8"/>
  <c r="F82" i="8"/>
  <c r="F74" i="8"/>
  <c r="F66" i="8"/>
  <c r="F58" i="8"/>
  <c r="F50" i="8"/>
  <c r="F42" i="8"/>
  <c r="F34" i="8"/>
  <c r="F26" i="8"/>
  <c r="F18" i="8"/>
  <c r="F312" i="8"/>
  <c r="F304" i="8"/>
  <c r="F296" i="8"/>
  <c r="F288" i="8"/>
  <c r="F280" i="8"/>
  <c r="F272" i="8"/>
  <c r="F264" i="8"/>
  <c r="F256" i="8"/>
  <c r="F248" i="8"/>
  <c r="F240" i="8"/>
  <c r="F232" i="8"/>
  <c r="F224" i="8"/>
  <c r="F216" i="8"/>
  <c r="F208" i="8"/>
  <c r="F200" i="8"/>
  <c r="F192" i="8"/>
  <c r="F184" i="8"/>
  <c r="F176" i="8"/>
  <c r="F168" i="8"/>
  <c r="F160" i="8"/>
  <c r="F152" i="8"/>
  <c r="F144" i="8"/>
  <c r="F136" i="8"/>
  <c r="F128" i="8"/>
  <c r="F120" i="8"/>
  <c r="F112" i="8"/>
  <c r="F104" i="8"/>
  <c r="F96" i="8"/>
  <c r="F88" i="8"/>
  <c r="F80" i="8"/>
  <c r="F72" i="8"/>
  <c r="F64" i="8"/>
  <c r="F56" i="8"/>
  <c r="F48" i="8"/>
  <c r="F40" i="8"/>
  <c r="F32" i="8"/>
  <c r="F24" i="8"/>
  <c r="F16" i="8"/>
  <c r="F367" i="8"/>
  <c r="F359" i="8"/>
  <c r="F351" i="8"/>
  <c r="F343" i="8"/>
  <c r="F335" i="8"/>
  <c r="F327" i="8"/>
  <c r="F319" i="8"/>
  <c r="F311" i="8"/>
  <c r="F303" i="8"/>
  <c r="F295" i="8"/>
  <c r="F287" i="8"/>
  <c r="F279" i="8"/>
  <c r="F271" i="8"/>
  <c r="F263" i="8"/>
  <c r="F255" i="8"/>
  <c r="F247" i="8"/>
  <c r="F239" i="8"/>
  <c r="F231" i="8"/>
  <c r="F223" i="8"/>
  <c r="F215" i="8"/>
  <c r="F207" i="8"/>
  <c r="F199" i="8"/>
  <c r="F191" i="8"/>
  <c r="F183" i="8"/>
  <c r="F175" i="8"/>
  <c r="F167" i="8"/>
  <c r="F159" i="8"/>
  <c r="F151" i="8"/>
  <c r="F143" i="8"/>
  <c r="F135" i="8"/>
  <c r="F127" i="8"/>
  <c r="F119" i="8"/>
  <c r="F111" i="8"/>
  <c r="F103" i="8"/>
  <c r="F95" i="8"/>
  <c r="F87" i="8"/>
  <c r="F79" i="8"/>
  <c r="F71" i="8"/>
  <c r="F63" i="8"/>
  <c r="F55" i="8"/>
  <c r="F47" i="8"/>
  <c r="F39" i="8"/>
  <c r="F31" i="8"/>
  <c r="F23" i="8"/>
  <c r="F15" i="8"/>
  <c r="F78" i="8"/>
  <c r="F70" i="8"/>
  <c r="F62" i="8"/>
  <c r="F54" i="8"/>
  <c r="F46" i="8"/>
  <c r="F38" i="8"/>
  <c r="F30" i="8"/>
  <c r="F22" i="8"/>
  <c r="F14" i="8"/>
  <c r="F309" i="8"/>
  <c r="F301" i="8"/>
  <c r="F293" i="8"/>
  <c r="F285" i="8"/>
  <c r="F277" i="8"/>
  <c r="F269" i="8"/>
  <c r="F261" i="8"/>
  <c r="F253" i="8"/>
  <c r="F245" i="8"/>
  <c r="F237" i="8"/>
  <c r="F229" i="8"/>
  <c r="F221" i="8"/>
  <c r="F213" i="8"/>
  <c r="F205" i="8"/>
  <c r="F197" i="8"/>
  <c r="F189" i="8"/>
  <c r="F181" i="8"/>
  <c r="F173" i="8"/>
  <c r="F165" i="8"/>
  <c r="F157" i="8"/>
  <c r="F149" i="8"/>
  <c r="F141" i="8"/>
  <c r="F133" i="8"/>
  <c r="F125" i="8"/>
  <c r="F117" i="8"/>
  <c r="F109" i="8"/>
  <c r="F101" i="8"/>
  <c r="F93" i="8"/>
  <c r="F85" i="8"/>
  <c r="F77" i="8"/>
  <c r="F69" i="8"/>
  <c r="F61" i="8"/>
  <c r="F53" i="8"/>
  <c r="F45" i="8"/>
  <c r="F37" i="8"/>
  <c r="F29" i="8"/>
  <c r="P12" i="7" l="1"/>
  <c r="Q12" i="7"/>
  <c r="E507" i="8"/>
  <c r="E43" i="8"/>
  <c r="E775" i="8"/>
  <c r="E166" i="8"/>
  <c r="E336" i="8"/>
  <c r="D336" i="8" s="1"/>
  <c r="E72" i="8"/>
  <c r="E299" i="8"/>
  <c r="E125" i="8"/>
  <c r="E173" i="8"/>
  <c r="E241" i="8"/>
  <c r="E4" i="8"/>
  <c r="E391" i="8"/>
  <c r="E301" i="8"/>
  <c r="D301" i="8" s="1"/>
  <c r="E141" i="8"/>
  <c r="E871" i="8"/>
  <c r="E237" i="8"/>
  <c r="E225" i="8"/>
  <c r="D225" i="8" s="1"/>
  <c r="E447" i="8"/>
  <c r="E177" i="8"/>
  <c r="E909" i="8"/>
  <c r="D909" i="8" s="1"/>
  <c r="E715" i="8"/>
  <c r="E444" i="8"/>
  <c r="E901" i="8"/>
  <c r="E903" i="8"/>
  <c r="E843" i="8"/>
  <c r="D843" i="8" s="1"/>
  <c r="E725" i="8"/>
  <c r="E268" i="8"/>
  <c r="E25" i="8"/>
  <c r="D25" i="8" s="1"/>
  <c r="E664" i="8"/>
  <c r="E97" i="8"/>
  <c r="E511" i="8"/>
  <c r="E819" i="8"/>
  <c r="E531" i="8"/>
  <c r="E612" i="8"/>
  <c r="E541" i="8"/>
  <c r="E913" i="8"/>
  <c r="D913" i="8" s="1"/>
  <c r="E129" i="8"/>
  <c r="D129" i="8" s="1"/>
  <c r="E385" i="8"/>
  <c r="E317" i="8"/>
  <c r="E683" i="8"/>
  <c r="E172" i="8"/>
  <c r="E483" i="8"/>
  <c r="E190" i="8"/>
  <c r="E545" i="8"/>
  <c r="D545" i="8" s="1"/>
  <c r="E30" i="8"/>
  <c r="D30" i="8" s="1"/>
  <c r="E296" i="8"/>
  <c r="E209" i="8"/>
  <c r="E765" i="8"/>
  <c r="E870" i="8"/>
  <c r="E623" i="8"/>
  <c r="E883" i="8"/>
  <c r="E300" i="8"/>
  <c r="D300" i="8" s="1"/>
  <c r="E334" i="8"/>
  <c r="D334" i="8" s="1"/>
  <c r="E815" i="8"/>
  <c r="E73" i="8"/>
  <c r="E613" i="8"/>
  <c r="E77" i="8"/>
  <c r="E839" i="8"/>
  <c r="D839" i="8" s="1"/>
  <c r="E621" i="8"/>
  <c r="E619" i="8"/>
  <c r="D619" i="8" s="1"/>
  <c r="E168" i="8"/>
  <c r="D168" i="8" s="1"/>
  <c r="E86" i="8"/>
  <c r="E248" i="8"/>
  <c r="E81" i="8"/>
  <c r="E137" i="8"/>
  <c r="E643" i="8"/>
  <c r="D643" i="8" s="1"/>
  <c r="E264" i="8"/>
  <c r="E860" i="8"/>
  <c r="D860" i="8" s="1"/>
  <c r="E21" i="8"/>
  <c r="D21" i="8" s="1"/>
  <c r="E152" i="8"/>
  <c r="E41" i="8"/>
  <c r="E333" i="8"/>
  <c r="E567" i="8"/>
  <c r="E184" i="8"/>
  <c r="E456" i="8"/>
  <c r="E99" i="8"/>
  <c r="E415" i="8"/>
  <c r="E236" i="8"/>
  <c r="E126" i="8"/>
  <c r="E257" i="8"/>
  <c r="E372" i="8"/>
  <c r="D372" i="8" s="1"/>
  <c r="E159" i="8"/>
  <c r="E35" i="8"/>
  <c r="E420" i="8"/>
  <c r="E8" i="8"/>
  <c r="D8" i="8" s="1"/>
  <c r="E861" i="8"/>
  <c r="E189" i="8"/>
  <c r="E348" i="8"/>
  <c r="E88" i="8"/>
  <c r="D88" i="8" s="1"/>
  <c r="E104" i="8"/>
  <c r="E486" i="8"/>
  <c r="E291" i="8"/>
  <c r="E94" i="8"/>
  <c r="E747" i="8"/>
  <c r="E838" i="8"/>
  <c r="E943" i="8"/>
  <c r="E230" i="8"/>
  <c r="E193" i="8"/>
  <c r="E120" i="8"/>
  <c r="E22" i="8"/>
  <c r="E868" i="8"/>
  <c r="D868" i="8" s="1"/>
  <c r="E807" i="8"/>
  <c r="D807" i="8" s="1"/>
  <c r="E216" i="8"/>
  <c r="D216" i="8" s="1"/>
  <c r="E169" i="8"/>
  <c r="E113" i="8"/>
  <c r="E591" i="8"/>
  <c r="E875" i="8"/>
  <c r="E476" i="8"/>
  <c r="E708" i="8"/>
  <c r="E206" i="8"/>
  <c r="D206" i="8" s="1"/>
  <c r="E321" i="8"/>
  <c r="D321" i="8" s="1"/>
  <c r="E328" i="8"/>
  <c r="E812" i="8"/>
  <c r="E971" i="8"/>
  <c r="E611" i="8"/>
  <c r="E70" i="8"/>
  <c r="E808" i="8"/>
  <c r="E661" i="8"/>
  <c r="D661" i="8" s="1"/>
  <c r="E462" i="8"/>
  <c r="D462" i="8" s="1"/>
  <c r="E811" i="8"/>
  <c r="D811" i="8" s="1"/>
  <c r="E198" i="8"/>
  <c r="E559" i="8"/>
  <c r="E475" i="8"/>
  <c r="E652" i="8"/>
  <c r="D652" i="8" s="1"/>
  <c r="E95" i="8"/>
  <c r="E93" i="8"/>
  <c r="D93" i="8" s="1"/>
  <c r="E253" i="8"/>
  <c r="E749" i="8"/>
  <c r="E493" i="8"/>
  <c r="E45" i="8"/>
  <c r="E201" i="8"/>
  <c r="E440" i="8"/>
  <c r="E604" i="8"/>
  <c r="E194" i="8"/>
  <c r="E108" i="8"/>
  <c r="E200" i="8"/>
  <c r="E105" i="8"/>
  <c r="E711" i="8"/>
  <c r="E516" i="8"/>
  <c r="E38" i="8"/>
  <c r="D38" i="8" s="1"/>
  <c r="E631" i="8"/>
  <c r="E145" i="8"/>
  <c r="E49" i="8"/>
  <c r="E617" i="8"/>
  <c r="E471" i="8"/>
  <c r="E24" i="8"/>
  <c r="E721" i="8"/>
  <c r="E508" i="8"/>
  <c r="D508" i="8" s="1"/>
  <c r="E853" i="8"/>
  <c r="E743" i="8"/>
  <c r="E552" i="8"/>
  <c r="E717" i="8"/>
  <c r="E712" i="8"/>
  <c r="E221" i="8"/>
  <c r="E939" i="8"/>
  <c r="E165" i="8"/>
  <c r="D165" i="8" s="1"/>
  <c r="E12" i="8"/>
  <c r="E368" i="8"/>
  <c r="E935" i="8"/>
  <c r="D935" i="8" s="1"/>
  <c r="E908" i="8"/>
  <c r="E589" i="8"/>
  <c r="E489" i="8"/>
  <c r="E134" i="8"/>
  <c r="E205" i="8"/>
  <c r="D205" i="8" s="1"/>
  <c r="E779" i="8"/>
  <c r="E40" i="8"/>
  <c r="D40" i="8" s="1"/>
  <c r="E384" i="8"/>
  <c r="E393" i="8"/>
  <c r="E163" i="8"/>
  <c r="E61" i="8"/>
  <c r="E285" i="8"/>
  <c r="D285" i="8" s="1"/>
  <c r="E967" i="8"/>
  <c r="E907" i="8"/>
  <c r="E687" i="8"/>
  <c r="E691" i="8"/>
  <c r="E269" i="8"/>
  <c r="D269" i="8" s="1"/>
  <c r="E543" i="8"/>
  <c r="E593" i="8"/>
  <c r="E109" i="8"/>
  <c r="E879" i="8"/>
  <c r="D879" i="8" s="1"/>
  <c r="E102" i="8"/>
  <c r="E280" i="8"/>
  <c r="E204" i="8"/>
  <c r="E590" i="8"/>
  <c r="D590" i="8" s="1"/>
  <c r="E614" i="8"/>
  <c r="E157" i="8"/>
  <c r="E920" i="8"/>
  <c r="D920" i="8" s="1"/>
  <c r="E150" i="8"/>
  <c r="D150" i="8" s="1"/>
  <c r="E161" i="8"/>
  <c r="E44" i="8"/>
  <c r="E404" i="8"/>
  <c r="E433" i="8"/>
  <c r="E555" i="8"/>
  <c r="E673" i="8"/>
  <c r="D673" i="8" s="1"/>
  <c r="E947" i="8"/>
  <c r="E755" i="8"/>
  <c r="E62" i="8"/>
  <c r="D62" i="8" s="1"/>
  <c r="E503" i="8"/>
  <c r="E751" i="8"/>
  <c r="E140" i="8"/>
  <c r="D140" i="8" s="1"/>
  <c r="E142" i="8"/>
  <c r="E112" i="8"/>
  <c r="E229" i="8"/>
  <c r="E408" i="8"/>
  <c r="D408" i="8" s="1"/>
  <c r="E763" i="8"/>
  <c r="E491" i="8"/>
  <c r="E272" i="8"/>
  <c r="E232" i="8"/>
  <c r="E340" i="8"/>
  <c r="D340" i="8" s="1"/>
  <c r="E679" i="8"/>
  <c r="E968" i="8"/>
  <c r="E37" i="8"/>
  <c r="D37" i="8" s="1"/>
  <c r="E293" i="8"/>
  <c r="D293" i="8" s="1"/>
  <c r="E823" i="8"/>
  <c r="E759" i="8"/>
  <c r="E144" i="8"/>
  <c r="E869" i="8"/>
  <c r="D869" i="8" s="1"/>
  <c r="E655" i="8"/>
  <c r="D655" i="8" s="1"/>
  <c r="E897" i="8"/>
  <c r="E515" i="8"/>
  <c r="E955" i="8"/>
  <c r="E412" i="8"/>
  <c r="D412" i="8" s="1"/>
  <c r="E65" i="8"/>
  <c r="E197" i="8"/>
  <c r="D197" i="8" s="1"/>
  <c r="E304" i="8"/>
  <c r="E349" i="8"/>
  <c r="E423" i="8"/>
  <c r="E764" i="8"/>
  <c r="E709" i="8"/>
  <c r="E227" i="8"/>
  <c r="E101" i="8"/>
  <c r="E261" i="8"/>
  <c r="D261" i="8" s="1"/>
  <c r="E455" i="8"/>
  <c r="E575" i="8"/>
  <c r="D575" i="8" s="1"/>
  <c r="E951" i="8"/>
  <c r="E695" i="8"/>
  <c r="E891" i="8"/>
  <c r="E16" i="8"/>
  <c r="E208" i="8"/>
  <c r="E136" i="8"/>
  <c r="E443" i="8"/>
  <c r="D443" i="8" s="1"/>
  <c r="E76" i="8"/>
  <c r="E579" i="8"/>
  <c r="D579" i="8" s="1"/>
  <c r="E556" i="8"/>
  <c r="E78" i="8"/>
  <c r="D78" i="8" s="1"/>
  <c r="E133" i="8"/>
  <c r="E699" i="8"/>
  <c r="D699" i="8" s="1"/>
  <c r="E627" i="8"/>
  <c r="E80" i="8"/>
  <c r="D80" i="8" s="1"/>
  <c r="E240" i="8"/>
  <c r="E760" i="8"/>
  <c r="E223" i="8"/>
  <c r="E999" i="8"/>
  <c r="D999" i="8" s="1"/>
  <c r="E776" i="8"/>
  <c r="E639" i="8"/>
  <c r="E689" i="8"/>
  <c r="E497" i="8"/>
  <c r="D497" i="8" s="1"/>
  <c r="E494" i="8"/>
  <c r="E439" i="8"/>
  <c r="D439" i="8" s="1"/>
  <c r="E244" i="8"/>
  <c r="E772" i="8"/>
  <c r="D772" i="8" s="1"/>
  <c r="E697" i="8"/>
  <c r="D697" i="8" s="1"/>
  <c r="E801" i="8"/>
  <c r="E69" i="8"/>
  <c r="E563" i="8"/>
  <c r="D563" i="8" s="1"/>
  <c r="E176" i="8"/>
  <c r="D176" i="8" s="1"/>
  <c r="E668" i="8"/>
  <c r="D668" i="8" s="1"/>
  <c r="E924" i="8"/>
  <c r="E933" i="8"/>
  <c r="D933" i="8" s="1"/>
  <c r="E171" i="8"/>
  <c r="E647" i="8"/>
  <c r="E52" i="8"/>
  <c r="D52" i="8" s="1"/>
  <c r="E524" i="8"/>
  <c r="D524" i="8" s="1"/>
  <c r="E235" i="8"/>
  <c r="E484" i="8"/>
  <c r="E1001" i="8"/>
  <c r="E297" i="8"/>
  <c r="D297" i="8" s="1"/>
  <c r="E831" i="8"/>
  <c r="E767" i="8"/>
  <c r="E148" i="8"/>
  <c r="E416" i="8"/>
  <c r="D416" i="8" s="1"/>
  <c r="E669" i="8"/>
  <c r="D669" i="8" s="1"/>
  <c r="E449" i="8"/>
  <c r="D449" i="8" s="1"/>
  <c r="E366" i="8"/>
  <c r="D366" i="8" s="1"/>
  <c r="E307" i="8"/>
  <c r="D307" i="8" s="1"/>
  <c r="E289" i="8"/>
  <c r="E56" i="8"/>
  <c r="E445" i="8"/>
  <c r="E358" i="8"/>
  <c r="D358" i="8" s="1"/>
  <c r="E325" i="8"/>
  <c r="E887" i="8"/>
  <c r="E827" i="8"/>
  <c r="D827" i="8" s="1"/>
  <c r="E48" i="8"/>
  <c r="E448" i="8"/>
  <c r="E520" i="8"/>
  <c r="E716" i="8"/>
  <c r="D716" i="8" s="1"/>
  <c r="E824" i="8"/>
  <c r="E397" i="8"/>
  <c r="D397" i="8" s="1"/>
  <c r="E605" i="8"/>
  <c r="D605" i="8" s="1"/>
  <c r="E885" i="8"/>
  <c r="E47" i="8"/>
  <c r="D47" i="8" s="1"/>
  <c r="E238" i="8"/>
  <c r="E902" i="8"/>
  <c r="E329" i="8"/>
  <c r="D329" i="8" s="1"/>
  <c r="E523" i="8"/>
  <c r="E895" i="8"/>
  <c r="E571" i="8"/>
  <c r="E835" i="8"/>
  <c r="D835" i="8" s="1"/>
  <c r="E963" i="8"/>
  <c r="E180" i="8"/>
  <c r="E308" i="8"/>
  <c r="E452" i="8"/>
  <c r="E705" i="8"/>
  <c r="E568" i="8"/>
  <c r="E972" i="8"/>
  <c r="D972" i="8" s="1"/>
  <c r="E729" i="8"/>
  <c r="D729" i="8" s="1"/>
  <c r="E953" i="8"/>
  <c r="E616" i="8"/>
  <c r="E921" i="8"/>
  <c r="E771" i="8"/>
  <c r="E107" i="8"/>
  <c r="E973" i="8"/>
  <c r="E680" i="8"/>
  <c r="D680" i="8" s="1"/>
  <c r="E959" i="8"/>
  <c r="D959" i="8" s="1"/>
  <c r="E899" i="8"/>
  <c r="E773" i="8"/>
  <c r="E646" i="8"/>
  <c r="E499" i="8"/>
  <c r="D499" i="8" s="1"/>
  <c r="E116" i="8"/>
  <c r="E635" i="8"/>
  <c r="E212" i="8"/>
  <c r="E681" i="8"/>
  <c r="D681" i="8" s="1"/>
  <c r="E932" i="8"/>
  <c r="E353" i="8"/>
  <c r="D353" i="8" s="1"/>
  <c r="E609" i="8"/>
  <c r="E179" i="8"/>
  <c r="E58" i="8"/>
  <c r="D58" i="8" s="1"/>
  <c r="E934" i="8"/>
  <c r="E836" i="8"/>
  <c r="E988" i="8"/>
  <c r="E513" i="8"/>
  <c r="D513" i="8" s="1"/>
  <c r="E63" i="8"/>
  <c r="E795" i="8"/>
  <c r="E255" i="8"/>
  <c r="E526" i="8"/>
  <c r="E337" i="8"/>
  <c r="E783" i="8"/>
  <c r="E915" i="8"/>
  <c r="D915" i="8" s="1"/>
  <c r="E188" i="8"/>
  <c r="E509" i="8"/>
  <c r="D509" i="8" s="1"/>
  <c r="E331" i="8"/>
  <c r="E191" i="8"/>
  <c r="E6" i="8"/>
  <c r="E632" i="8"/>
  <c r="E851" i="8"/>
  <c r="E975" i="8"/>
  <c r="E777" i="8"/>
  <c r="D777" i="8" s="1"/>
  <c r="E573" i="8"/>
  <c r="E413" i="8"/>
  <c r="E678" i="8"/>
  <c r="E401" i="8"/>
  <c r="E539" i="8"/>
  <c r="E966" i="8"/>
  <c r="E352" i="8"/>
  <c r="D352" i="8" s="1"/>
  <c r="E996" i="8"/>
  <c r="E259" i="8"/>
  <c r="D259" i="8" s="1"/>
  <c r="E277" i="8"/>
  <c r="E547" i="8"/>
  <c r="E599" i="8"/>
  <c r="D599" i="8" s="1"/>
  <c r="E519" i="8"/>
  <c r="E92" i="8"/>
  <c r="E620" i="8"/>
  <c r="E965" i="8"/>
  <c r="D965" i="8" s="1"/>
  <c r="E532" i="8"/>
  <c r="E629" i="8"/>
  <c r="E876" i="8"/>
  <c r="E780" i="8"/>
  <c r="E233" i="8"/>
  <c r="E905" i="8"/>
  <c r="E981" i="8"/>
  <c r="D981" i="8" s="1"/>
  <c r="E847" i="8"/>
  <c r="E220" i="8"/>
  <c r="E479" i="8"/>
  <c r="E979" i="8"/>
  <c r="E424" i="8"/>
  <c r="E740" i="8"/>
  <c r="E417" i="8"/>
  <c r="E977" i="8"/>
  <c r="D977" i="8" s="1"/>
  <c r="E294" i="8"/>
  <c r="E369" i="8"/>
  <c r="E265" i="8"/>
  <c r="E463" i="8"/>
  <c r="E703" i="8"/>
  <c r="E376" i="8"/>
  <c r="E872" i="8"/>
  <c r="E553" i="8"/>
  <c r="D553" i="8" s="1"/>
  <c r="E583" i="8"/>
  <c r="E20" i="8"/>
  <c r="E276" i="8"/>
  <c r="E380" i="8"/>
  <c r="E84" i="8"/>
  <c r="E344" i="8"/>
  <c r="E572" i="8"/>
  <c r="E676" i="8"/>
  <c r="D676" i="8" s="1"/>
  <c r="E984" i="8"/>
  <c r="E457" i="8"/>
  <c r="E757" i="8"/>
  <c r="E985" i="8"/>
  <c r="D985" i="8" s="1"/>
  <c r="E243" i="8"/>
  <c r="E390" i="8"/>
  <c r="E488" i="8"/>
  <c r="E580" i="8"/>
  <c r="D580" i="8" s="1"/>
  <c r="E888" i="8"/>
  <c r="E361" i="8"/>
  <c r="E561" i="8"/>
  <c r="E813" i="8"/>
  <c r="E127" i="8"/>
  <c r="E74" i="8"/>
  <c r="E710" i="8"/>
  <c r="E273" i="8"/>
  <c r="D273" i="8" s="1"/>
  <c r="E663" i="8"/>
  <c r="E911" i="8"/>
  <c r="E587" i="8"/>
  <c r="D587" i="8" s="1"/>
  <c r="E719" i="8"/>
  <c r="E124" i="8"/>
  <c r="D124" i="8" s="1"/>
  <c r="E252" i="8"/>
  <c r="E828" i="8"/>
  <c r="E713" i="8"/>
  <c r="D713" i="8" s="1"/>
  <c r="E51" i="8"/>
  <c r="E518" i="8"/>
  <c r="D518" i="8" s="1"/>
  <c r="E732" i="8"/>
  <c r="E936" i="8"/>
  <c r="D936" i="8" s="1"/>
  <c r="E925" i="8"/>
  <c r="E270" i="8"/>
  <c r="E557" i="8"/>
  <c r="E115" i="8"/>
  <c r="D115" i="8" s="1"/>
  <c r="E461" i="8"/>
  <c r="E398" i="8"/>
  <c r="E707" i="8"/>
  <c r="E728" i="8"/>
  <c r="D728" i="8" s="1"/>
  <c r="E262" i="8"/>
  <c r="D262" i="8" s="1"/>
  <c r="E737" i="8"/>
  <c r="E339" i="8"/>
  <c r="E305" i="8"/>
  <c r="D305" i="8" s="1"/>
  <c r="E451" i="8"/>
  <c r="D451" i="8" s="1"/>
  <c r="E28" i="8"/>
  <c r="E316" i="8"/>
  <c r="E388" i="8"/>
  <c r="E723" i="8"/>
  <c r="E651" i="8"/>
  <c r="E156" i="8"/>
  <c r="E284" i="8"/>
  <c r="D284" i="8" s="1"/>
  <c r="E464" i="8"/>
  <c r="D464" i="8" s="1"/>
  <c r="E584" i="8"/>
  <c r="E792" i="8"/>
  <c r="E892" i="8"/>
  <c r="E465" i="8"/>
  <c r="E829" i="8"/>
  <c r="E15" i="8"/>
  <c r="E131" i="8"/>
  <c r="D131" i="8" s="1"/>
  <c r="E422" i="8"/>
  <c r="D422" i="8" s="1"/>
  <c r="E158" i="8"/>
  <c r="D158" i="8" s="1"/>
  <c r="E32" i="8"/>
  <c r="E432" i="8"/>
  <c r="D432" i="8" s="1"/>
  <c r="E500" i="8"/>
  <c r="D500" i="8" s="1"/>
  <c r="E521" i="8"/>
  <c r="E577" i="8"/>
  <c r="D577" i="8" s="1"/>
  <c r="E67" i="8"/>
  <c r="D67" i="8" s="1"/>
  <c r="E174" i="8"/>
  <c r="E245" i="8"/>
  <c r="D245" i="8" s="1"/>
  <c r="E791" i="8"/>
  <c r="D791" i="8" s="1"/>
  <c r="E727" i="8"/>
  <c r="D727" i="8" s="1"/>
  <c r="E160" i="8"/>
  <c r="E392" i="8"/>
  <c r="E696" i="8"/>
  <c r="E805" i="8"/>
  <c r="E733" i="8"/>
  <c r="E789" i="8"/>
  <c r="D789" i="8" s="1"/>
  <c r="E550" i="8"/>
  <c r="D550" i="8" s="1"/>
  <c r="E181" i="8"/>
  <c r="E859" i="8"/>
  <c r="D859" i="8" s="1"/>
  <c r="E320" i="8"/>
  <c r="E122" i="8"/>
  <c r="D122" i="8" s="1"/>
  <c r="E1000" i="8"/>
  <c r="D1000" i="8" s="1"/>
  <c r="E459" i="8"/>
  <c r="D459" i="8" s="1"/>
  <c r="E203" i="8"/>
  <c r="E182" i="8"/>
  <c r="D182" i="8" s="1"/>
  <c r="E799" i="8"/>
  <c r="E742" i="8"/>
  <c r="D742" i="8" s="1"/>
  <c r="E110" i="8"/>
  <c r="E85" i="8"/>
  <c r="D85" i="8" s="1"/>
  <c r="E149" i="8"/>
  <c r="E341" i="8"/>
  <c r="E731" i="8"/>
  <c r="E983" i="8"/>
  <c r="E527" i="8"/>
  <c r="E923" i="8"/>
  <c r="D923" i="8" s="1"/>
  <c r="E128" i="8"/>
  <c r="E224" i="8"/>
  <c r="D224" i="8" s="1"/>
  <c r="E288" i="8"/>
  <c r="E741" i="8"/>
  <c r="E644" i="8"/>
  <c r="D644" i="8" s="1"/>
  <c r="E796" i="8"/>
  <c r="D796" i="8" s="1"/>
  <c r="E900" i="8"/>
  <c r="E477" i="8"/>
  <c r="D477" i="8" s="1"/>
  <c r="E857" i="8"/>
  <c r="D857" i="8" s="1"/>
  <c r="E636" i="8"/>
  <c r="D636" i="8" s="1"/>
  <c r="E840" i="8"/>
  <c r="E997" i="8"/>
  <c r="E34" i="8"/>
  <c r="E312" i="8"/>
  <c r="E607" i="8"/>
  <c r="E64" i="8"/>
  <c r="E540" i="8"/>
  <c r="E213" i="8"/>
  <c r="E940" i="8"/>
  <c r="E797" i="8"/>
  <c r="E302" i="8"/>
  <c r="E153" i="8"/>
  <c r="D153" i="8" s="1"/>
  <c r="E467" i="8"/>
  <c r="E260" i="8"/>
  <c r="E53" i="8"/>
  <c r="D53" i="8" s="1"/>
  <c r="E309" i="8"/>
  <c r="E919" i="8"/>
  <c r="D919" i="8" s="1"/>
  <c r="E595" i="8"/>
  <c r="E192" i="8"/>
  <c r="D192" i="8" s="1"/>
  <c r="E952" i="8"/>
  <c r="D952" i="8" s="1"/>
  <c r="E809" i="8"/>
  <c r="E659" i="8"/>
  <c r="E588" i="8"/>
  <c r="E195" i="8"/>
  <c r="E487" i="8"/>
  <c r="D487" i="8" s="1"/>
  <c r="E425" i="8"/>
  <c r="D425" i="8" s="1"/>
  <c r="E139" i="8"/>
  <c r="E855" i="8"/>
  <c r="E118" i="8"/>
  <c r="D118" i="8" s="1"/>
  <c r="E281" i="8"/>
  <c r="E739" i="8"/>
  <c r="E100" i="8"/>
  <c r="E211" i="8"/>
  <c r="D211" i="8" s="1"/>
  <c r="E522" i="8"/>
  <c r="E735" i="8"/>
  <c r="D735" i="8" s="1"/>
  <c r="E132" i="8"/>
  <c r="D132" i="8" s="1"/>
  <c r="E472" i="8"/>
  <c r="E335" i="8"/>
  <c r="D335" i="8" s="1"/>
  <c r="E468" i="8"/>
  <c r="E744" i="8"/>
  <c r="D744" i="8" s="1"/>
  <c r="E684" i="8"/>
  <c r="D684" i="8" s="1"/>
  <c r="E365" i="8"/>
  <c r="E46" i="8"/>
  <c r="D46" i="8" s="1"/>
  <c r="E671" i="8"/>
  <c r="D671" i="8" s="1"/>
  <c r="E96" i="8"/>
  <c r="E356" i="8"/>
  <c r="E492" i="8"/>
  <c r="E637" i="8"/>
  <c r="D637" i="8" s="1"/>
  <c r="E11" i="8"/>
  <c r="D11" i="8" s="1"/>
  <c r="E117" i="8"/>
  <c r="E987" i="8"/>
  <c r="D987" i="8" s="1"/>
  <c r="E844" i="8"/>
  <c r="D844" i="8" s="1"/>
  <c r="E641" i="8"/>
  <c r="E993" i="8"/>
  <c r="E359" i="8"/>
  <c r="E774" i="8"/>
  <c r="E536" i="8"/>
  <c r="D536" i="8" s="1"/>
  <c r="E787" i="8"/>
  <c r="D787" i="8" s="1"/>
  <c r="E89" i="8"/>
  <c r="E249" i="8"/>
  <c r="E345" i="8"/>
  <c r="E551" i="8"/>
  <c r="D551" i="8" s="1"/>
  <c r="E927" i="8"/>
  <c r="E667" i="8"/>
  <c r="E867" i="8"/>
  <c r="D867" i="8" s="1"/>
  <c r="E995" i="8"/>
  <c r="D995" i="8" s="1"/>
  <c r="E196" i="8"/>
  <c r="E360" i="8"/>
  <c r="E748" i="8"/>
  <c r="E821" i="8"/>
  <c r="E622" i="8"/>
  <c r="E428" i="8"/>
  <c r="E848" i="8"/>
  <c r="E645" i="8"/>
  <c r="D645" i="8" s="1"/>
  <c r="E60" i="8"/>
  <c r="E648" i="8"/>
  <c r="E5" i="8"/>
  <c r="D5" i="8" s="1"/>
  <c r="E429" i="8"/>
  <c r="D429" i="8" s="1"/>
  <c r="E865" i="8"/>
  <c r="D865" i="8" s="1"/>
  <c r="E326" i="8"/>
  <c r="D326" i="8" s="1"/>
  <c r="E79" i="8"/>
  <c r="E271" i="8"/>
  <c r="D271" i="8" s="1"/>
  <c r="E66" i="8"/>
  <c r="D66" i="8" s="1"/>
  <c r="E266" i="8"/>
  <c r="D266" i="8" s="1"/>
  <c r="E650" i="8"/>
  <c r="D650" i="8" s="1"/>
  <c r="E750" i="8"/>
  <c r="D750" i="8" s="1"/>
  <c r="E693" i="8"/>
  <c r="E976" i="8"/>
  <c r="D976" i="8" s="1"/>
  <c r="E949" i="8"/>
  <c r="E57" i="8"/>
  <c r="D57" i="8" s="1"/>
  <c r="E164" i="8"/>
  <c r="E889" i="8"/>
  <c r="D889" i="8" s="1"/>
  <c r="E143" i="8"/>
  <c r="E330" i="8"/>
  <c r="E458" i="8"/>
  <c r="D458" i="8" s="1"/>
  <c r="E778" i="8"/>
  <c r="D778" i="8" s="1"/>
  <c r="E970" i="8"/>
  <c r="D970" i="8" s="1"/>
  <c r="E878" i="8"/>
  <c r="D878" i="8" s="1"/>
  <c r="E364" i="8"/>
  <c r="D364" i="8" s="1"/>
  <c r="E592" i="8"/>
  <c r="E784" i="8"/>
  <c r="D784" i="8" s="1"/>
  <c r="E373" i="8"/>
  <c r="E565" i="8"/>
  <c r="E525" i="8"/>
  <c r="D525" i="8" s="1"/>
  <c r="E430" i="8"/>
  <c r="E535" i="8"/>
  <c r="E904" i="8"/>
  <c r="E355" i="8"/>
  <c r="E313" i="8"/>
  <c r="D313" i="8" s="1"/>
  <c r="E803" i="8"/>
  <c r="D803" i="8" s="1"/>
  <c r="E436" i="8"/>
  <c r="D436" i="8" s="1"/>
  <c r="E381" i="8"/>
  <c r="D381" i="8" s="1"/>
  <c r="E454" i="8"/>
  <c r="E130" i="8"/>
  <c r="D130" i="8" s="1"/>
  <c r="E938" i="8"/>
  <c r="E675" i="8"/>
  <c r="E68" i="8"/>
  <c r="D68" i="8" s="1"/>
  <c r="E400" i="8"/>
  <c r="E633" i="8"/>
  <c r="D633" i="8" s="1"/>
  <c r="E600" i="8"/>
  <c r="D600" i="8" s="1"/>
  <c r="E856" i="8"/>
  <c r="E17" i="8"/>
  <c r="E529" i="8"/>
  <c r="E845" i="8"/>
  <c r="E186" i="8"/>
  <c r="E582" i="8"/>
  <c r="D582" i="8" s="1"/>
  <c r="E175" i="8"/>
  <c r="E207" i="8"/>
  <c r="D207" i="8" s="1"/>
  <c r="E419" i="8"/>
  <c r="E202" i="8"/>
  <c r="D202" i="8" s="1"/>
  <c r="E362" i="8"/>
  <c r="E394" i="8"/>
  <c r="E618" i="8"/>
  <c r="E714" i="8"/>
  <c r="E874" i="8"/>
  <c r="E906" i="8"/>
  <c r="D906" i="8" s="1"/>
  <c r="E718" i="8"/>
  <c r="E814" i="8"/>
  <c r="D814" i="8" s="1"/>
  <c r="E974" i="8"/>
  <c r="D974" i="8" s="1"/>
  <c r="E998" i="8"/>
  <c r="E665" i="8"/>
  <c r="D665" i="8" s="1"/>
  <c r="E528" i="8"/>
  <c r="D528" i="8" s="1"/>
  <c r="E688" i="8"/>
  <c r="E720" i="8"/>
  <c r="D720" i="8" s="1"/>
  <c r="E944" i="8"/>
  <c r="E745" i="8"/>
  <c r="D745" i="8" s="1"/>
  <c r="E469" i="8"/>
  <c r="D469" i="8" s="1"/>
  <c r="E501" i="8"/>
  <c r="E817" i="8"/>
  <c r="E256" i="8"/>
  <c r="E19" i="8"/>
  <c r="D19" i="8" s="1"/>
  <c r="E267" i="8"/>
  <c r="D267" i="8" s="1"/>
  <c r="E14" i="8"/>
  <c r="D14" i="8" s="1"/>
  <c r="E185" i="8"/>
  <c r="E615" i="8"/>
  <c r="E863" i="8"/>
  <c r="E36" i="8"/>
  <c r="E292" i="8"/>
  <c r="D292" i="8" s="1"/>
  <c r="E504" i="8"/>
  <c r="E700" i="8"/>
  <c r="D700" i="8" s="1"/>
  <c r="E585" i="8"/>
  <c r="E275" i="8"/>
  <c r="E111" i="8"/>
  <c r="D111" i="8" s="1"/>
  <c r="E239" i="8"/>
  <c r="D239" i="8" s="1"/>
  <c r="E298" i="8"/>
  <c r="E682" i="8"/>
  <c r="E496" i="8"/>
  <c r="E752" i="8"/>
  <c r="D752" i="8" s="1"/>
  <c r="E554" i="8"/>
  <c r="E782" i="8"/>
  <c r="E460" i="8"/>
  <c r="E75" i="8"/>
  <c r="E217" i="8"/>
  <c r="E548" i="8"/>
  <c r="E383" i="8"/>
  <c r="E842" i="8"/>
  <c r="D842" i="8" s="1"/>
  <c r="E701" i="8"/>
  <c r="E121" i="8"/>
  <c r="E931" i="8"/>
  <c r="D931" i="8" s="1"/>
  <c r="E31" i="8"/>
  <c r="E426" i="8"/>
  <c r="E810" i="8"/>
  <c r="E654" i="8"/>
  <c r="E910" i="8"/>
  <c r="E332" i="8"/>
  <c r="E624" i="8"/>
  <c r="E841" i="8"/>
  <c r="D841" i="8" s="1"/>
  <c r="E558" i="8"/>
  <c r="D558" i="8" s="1"/>
  <c r="E54" i="8"/>
  <c r="D54" i="8" s="1"/>
  <c r="E603" i="8"/>
  <c r="E324" i="8"/>
  <c r="D324" i="8" s="1"/>
  <c r="E956" i="8"/>
  <c r="E653" i="8"/>
  <c r="E387" i="8"/>
  <c r="E586" i="8"/>
  <c r="D586" i="8" s="1"/>
  <c r="E686" i="8"/>
  <c r="D686" i="8" s="1"/>
  <c r="E942" i="8"/>
  <c r="E849" i="8"/>
  <c r="E495" i="8"/>
  <c r="E785" i="8"/>
  <c r="E490" i="8"/>
  <c r="E9" i="8"/>
  <c r="E929" i="8"/>
  <c r="D929" i="8" s="1"/>
  <c r="E427" i="8"/>
  <c r="D427" i="8" s="1"/>
  <c r="E626" i="8"/>
  <c r="E660" i="8"/>
  <c r="E441" i="8"/>
  <c r="E656" i="8"/>
  <c r="D656" i="8" s="1"/>
  <c r="E138" i="8"/>
  <c r="D138" i="8" s="1"/>
  <c r="E964" i="8"/>
  <c r="E991" i="8"/>
  <c r="E228" i="8"/>
  <c r="E804" i="8"/>
  <c r="E481" i="8"/>
  <c r="E806" i="8"/>
  <c r="E560" i="8"/>
  <c r="E880" i="8"/>
  <c r="D880" i="8" s="1"/>
  <c r="E247" i="8"/>
  <c r="E434" i="8"/>
  <c r="E946" i="8"/>
  <c r="E980" i="8"/>
  <c r="D980" i="8" s="1"/>
  <c r="E303" i="8"/>
  <c r="E982" i="8"/>
  <c r="D982" i="8" s="1"/>
  <c r="E816" i="8"/>
  <c r="E437" i="8"/>
  <c r="E405" i="8"/>
  <c r="E55" i="8"/>
  <c r="E311" i="8"/>
  <c r="E242" i="8"/>
  <c r="E498" i="8"/>
  <c r="E754" i="8"/>
  <c r="D754" i="8" s="1"/>
  <c r="E7" i="8"/>
  <c r="E788" i="8"/>
  <c r="E769" i="8"/>
  <c r="E569" i="8"/>
  <c r="D569" i="8" s="1"/>
  <c r="E147" i="8"/>
  <c r="E234" i="8"/>
  <c r="E746" i="8"/>
  <c r="E846" i="8"/>
  <c r="E396" i="8"/>
  <c r="D396" i="8" s="1"/>
  <c r="E912" i="8"/>
  <c r="E29" i="8"/>
  <c r="E533" i="8"/>
  <c r="D533" i="8" s="1"/>
  <c r="E597" i="8"/>
  <c r="E873" i="8"/>
  <c r="E917" i="8"/>
  <c r="E151" i="8"/>
  <c r="E183" i="8"/>
  <c r="E395" i="8"/>
  <c r="D395" i="8" s="1"/>
  <c r="E146" i="8"/>
  <c r="E338" i="8"/>
  <c r="E370" i="8"/>
  <c r="E594" i="8"/>
  <c r="D594" i="8" s="1"/>
  <c r="E690" i="8"/>
  <c r="E850" i="8"/>
  <c r="D850" i="8" s="1"/>
  <c r="E882" i="8"/>
  <c r="E628" i="8"/>
  <c r="D628" i="8" s="1"/>
  <c r="E724" i="8"/>
  <c r="E884" i="8"/>
  <c r="E916" i="8"/>
  <c r="E409" i="8"/>
  <c r="E505" i="8"/>
  <c r="E793" i="8"/>
  <c r="D793" i="8" s="1"/>
  <c r="E893" i="8"/>
  <c r="E470" i="8"/>
  <c r="E961" i="8"/>
  <c r="E155" i="8"/>
  <c r="E90" i="8"/>
  <c r="E342" i="8"/>
  <c r="E662" i="8"/>
  <c r="E854" i="8"/>
  <c r="D854" i="8" s="1"/>
  <c r="E435" i="8"/>
  <c r="D435" i="8" s="1"/>
  <c r="E314" i="8"/>
  <c r="E634" i="8"/>
  <c r="E826" i="8"/>
  <c r="D826" i="8" s="1"/>
  <c r="E318" i="8"/>
  <c r="E830" i="8"/>
  <c r="E736" i="8"/>
  <c r="E517" i="8"/>
  <c r="E274" i="8"/>
  <c r="E820" i="8"/>
  <c r="E283" i="8"/>
  <c r="E42" i="8"/>
  <c r="E638" i="8"/>
  <c r="D638" i="8" s="1"/>
  <c r="E544" i="8"/>
  <c r="D544" i="8" s="1"/>
  <c r="E657" i="8"/>
  <c r="E215" i="8"/>
  <c r="E914" i="8"/>
  <c r="E119" i="8"/>
  <c r="E649" i="8"/>
  <c r="E59" i="8"/>
  <c r="E315" i="8"/>
  <c r="E246" i="8"/>
  <c r="E502" i="8"/>
  <c r="E758" i="8"/>
  <c r="E287" i="8"/>
  <c r="E218" i="8"/>
  <c r="E474" i="8"/>
  <c r="E730" i="8"/>
  <c r="D730" i="8" s="1"/>
  <c r="E990" i="8"/>
  <c r="D990" i="8" s="1"/>
  <c r="E222" i="8"/>
  <c r="E478" i="8"/>
  <c r="E734" i="8"/>
  <c r="E994" i="8"/>
  <c r="D994" i="8" s="1"/>
  <c r="E640" i="8"/>
  <c r="D640" i="8" s="1"/>
  <c r="E896" i="8"/>
  <c r="E421" i="8"/>
  <c r="E837" i="8"/>
  <c r="E343" i="8"/>
  <c r="E530" i="8"/>
  <c r="E564" i="8"/>
  <c r="E33" i="8"/>
  <c r="E363" i="8"/>
  <c r="D363" i="8" s="1"/>
  <c r="E818" i="8"/>
  <c r="D818" i="8" s="1"/>
  <c r="E969" i="8"/>
  <c r="E91" i="8"/>
  <c r="E219" i="8"/>
  <c r="E347" i="8"/>
  <c r="D347" i="8" s="1"/>
  <c r="E399" i="8"/>
  <c r="E278" i="8"/>
  <c r="E406" i="8"/>
  <c r="E534" i="8"/>
  <c r="D534" i="8" s="1"/>
  <c r="E598" i="8"/>
  <c r="E790" i="8"/>
  <c r="D790" i="8" s="1"/>
  <c r="E918" i="8"/>
  <c r="E319" i="8"/>
  <c r="D319" i="8" s="1"/>
  <c r="E371" i="8"/>
  <c r="E250" i="8"/>
  <c r="E378" i="8"/>
  <c r="E506" i="8"/>
  <c r="D506" i="8" s="1"/>
  <c r="E570" i="8"/>
  <c r="D570" i="8" s="1"/>
  <c r="E762" i="8"/>
  <c r="E890" i="8"/>
  <c r="E323" i="8"/>
  <c r="D323" i="8" s="1"/>
  <c r="E375" i="8"/>
  <c r="D375" i="8" s="1"/>
  <c r="E254" i="8"/>
  <c r="E382" i="8"/>
  <c r="E510" i="8"/>
  <c r="E574" i="8"/>
  <c r="D574" i="8" s="1"/>
  <c r="E766" i="8"/>
  <c r="E894" i="8"/>
  <c r="E761" i="8"/>
  <c r="E480" i="8"/>
  <c r="E672" i="8"/>
  <c r="E800" i="8"/>
  <c r="E928" i="8"/>
  <c r="D928" i="8" s="1"/>
  <c r="E992" i="8"/>
  <c r="E453" i="8"/>
  <c r="D453" i="8" s="1"/>
  <c r="E581" i="8"/>
  <c r="E941" i="8"/>
  <c r="E87" i="8"/>
  <c r="E82" i="8"/>
  <c r="D82" i="8" s="1"/>
  <c r="E402" i="8"/>
  <c r="E658" i="8"/>
  <c r="D658" i="8" s="1"/>
  <c r="E786" i="8"/>
  <c r="E692" i="8"/>
  <c r="E948" i="8"/>
  <c r="E473" i="8"/>
  <c r="E601" i="8"/>
  <c r="E306" i="8"/>
  <c r="D306" i="8" s="1"/>
  <c r="E377" i="8"/>
  <c r="E27" i="8"/>
  <c r="E310" i="8"/>
  <c r="D310" i="8" s="1"/>
  <c r="E726" i="8"/>
  <c r="E282" i="8"/>
  <c r="E698" i="8"/>
  <c r="E23" i="8"/>
  <c r="E466" i="8"/>
  <c r="D466" i="8" s="1"/>
  <c r="E537" i="8"/>
  <c r="E431" i="8"/>
  <c r="E346" i="8"/>
  <c r="E154" i="8"/>
  <c r="E286" i="8"/>
  <c r="E446" i="8"/>
  <c r="E694" i="8"/>
  <c r="E407" i="8"/>
  <c r="E576" i="8"/>
  <c r="E960" i="8"/>
  <c r="E825" i="8"/>
  <c r="E103" i="8"/>
  <c r="E411" i="8"/>
  <c r="E958" i="8"/>
  <c r="E98" i="8"/>
  <c r="E389" i="8"/>
  <c r="E231" i="8"/>
  <c r="E514" i="8"/>
  <c r="D514" i="8" s="1"/>
  <c r="E226" i="8"/>
  <c r="E3" i="8"/>
  <c r="E578" i="8"/>
  <c r="E881" i="8"/>
  <c r="E354" i="8"/>
  <c r="E866" i="8"/>
  <c r="E418" i="8"/>
  <c r="E199" i="8"/>
  <c r="E986" i="8"/>
  <c r="E442" i="8"/>
  <c r="E954" i="8"/>
  <c r="E279" i="8"/>
  <c r="E978" i="8"/>
  <c r="E957" i="8"/>
  <c r="E630" i="8"/>
  <c r="D630" i="8" s="1"/>
  <c r="E937" i="8"/>
  <c r="D937" i="8" s="1"/>
  <c r="E858" i="8"/>
  <c r="E350" i="8"/>
  <c r="E798" i="8"/>
  <c r="E602" i="8"/>
  <c r="E542" i="8"/>
  <c r="E608" i="8"/>
  <c r="E485" i="8"/>
  <c r="E989" i="8"/>
  <c r="E263" i="8"/>
  <c r="E950" i="8"/>
  <c r="D950" i="8" s="1"/>
  <c r="E677" i="8"/>
  <c r="E670" i="8"/>
  <c r="E877" i="8"/>
  <c r="E50" i="8"/>
  <c r="D50" i="8" s="1"/>
  <c r="E386" i="8"/>
  <c r="E642" i="8"/>
  <c r="E898" i="8"/>
  <c r="E327" i="8"/>
  <c r="E738" i="8"/>
  <c r="E674" i="8"/>
  <c r="E482" i="8"/>
  <c r="E562" i="8"/>
  <c r="E596" i="8"/>
  <c r="E852" i="8"/>
  <c r="E833" i="8"/>
  <c r="E123" i="8"/>
  <c r="E367" i="8"/>
  <c r="E214" i="8"/>
  <c r="E566" i="8"/>
  <c r="E822" i="8"/>
  <c r="D822" i="8" s="1"/>
  <c r="E351" i="8"/>
  <c r="E162" i="8"/>
  <c r="D162" i="8" s="1"/>
  <c r="E538" i="8"/>
  <c r="E794" i="8"/>
  <c r="E18" i="8"/>
  <c r="E781" i="8"/>
  <c r="E210" i="8"/>
  <c r="E722" i="8"/>
  <c r="E756" i="8"/>
  <c r="E13" i="8"/>
  <c r="E187" i="8"/>
  <c r="E374" i="8"/>
  <c r="E886" i="8"/>
  <c r="E403" i="8"/>
  <c r="E251" i="8"/>
  <c r="E438" i="8"/>
  <c r="E922" i="8"/>
  <c r="E106" i="8"/>
  <c r="E414" i="8"/>
  <c r="E702" i="8"/>
  <c r="E926" i="8"/>
  <c r="E753" i="8"/>
  <c r="E666" i="8"/>
  <c r="E170" i="8"/>
  <c r="D170" i="8" s="1"/>
  <c r="E862" i="8"/>
  <c r="E512" i="8"/>
  <c r="E864" i="8"/>
  <c r="E357" i="8"/>
  <c r="E549" i="8"/>
  <c r="E945" i="8"/>
  <c r="E39" i="8"/>
  <c r="E167" i="8"/>
  <c r="E295" i="8"/>
  <c r="E26" i="8"/>
  <c r="E606" i="8"/>
  <c r="E704" i="8"/>
  <c r="E625" i="8"/>
  <c r="E685" i="8"/>
  <c r="E768" i="8"/>
  <c r="E410" i="8"/>
  <c r="E832" i="8"/>
  <c r="E71" i="8"/>
  <c r="E379" i="8"/>
  <c r="E178" i="8"/>
  <c r="E258" i="8"/>
  <c r="E450" i="8"/>
  <c r="E610" i="8"/>
  <c r="E706" i="8"/>
  <c r="E770" i="8"/>
  <c r="E962" i="8"/>
  <c r="E135" i="8"/>
  <c r="E114" i="8"/>
  <c r="E290" i="8"/>
  <c r="E10" i="8"/>
  <c r="E546" i="8"/>
  <c r="E802" i="8"/>
  <c r="E930" i="8"/>
  <c r="E322" i="8"/>
  <c r="E83" i="8"/>
  <c r="E834" i="8"/>
  <c r="H379" i="8" l="1"/>
  <c r="D379" i="8"/>
  <c r="G263" i="8"/>
  <c r="D263" i="8"/>
  <c r="J346" i="8"/>
  <c r="D346" i="8"/>
  <c r="H598" i="8"/>
  <c r="D598" i="8"/>
  <c r="G615" i="8"/>
  <c r="D615" i="8"/>
  <c r="J904" i="8"/>
  <c r="D904" i="8"/>
  <c r="I911" i="8"/>
  <c r="D911" i="8"/>
  <c r="I238" i="8"/>
  <c r="D238" i="8"/>
  <c r="I776" i="8"/>
  <c r="D776" i="8"/>
  <c r="J491" i="8"/>
  <c r="D491" i="8"/>
  <c r="J687" i="8"/>
  <c r="D687" i="8"/>
  <c r="H743" i="8"/>
  <c r="D743" i="8"/>
  <c r="J861" i="8"/>
  <c r="D861" i="8"/>
  <c r="J152" i="8"/>
  <c r="D152" i="8"/>
  <c r="I815" i="8"/>
  <c r="D815" i="8"/>
  <c r="J141" i="8"/>
  <c r="D141" i="8"/>
  <c r="I322" i="8"/>
  <c r="D322" i="8"/>
  <c r="G962" i="8"/>
  <c r="D962" i="8"/>
  <c r="G71" i="8"/>
  <c r="D71" i="8"/>
  <c r="H26" i="8"/>
  <c r="D26" i="8"/>
  <c r="J512" i="8"/>
  <c r="D512" i="8"/>
  <c r="G106" i="8"/>
  <c r="D106" i="8"/>
  <c r="J13" i="8"/>
  <c r="D13" i="8"/>
  <c r="G852" i="8"/>
  <c r="D852" i="8"/>
  <c r="I642" i="8"/>
  <c r="D642" i="8"/>
  <c r="G989" i="8"/>
  <c r="D989" i="8"/>
  <c r="G199" i="8"/>
  <c r="D199" i="8"/>
  <c r="J960" i="8"/>
  <c r="D960" i="8"/>
  <c r="J431" i="8"/>
  <c r="D431" i="8"/>
  <c r="I27" i="8"/>
  <c r="D27" i="8"/>
  <c r="H510" i="8"/>
  <c r="D510" i="8"/>
  <c r="H896" i="8"/>
  <c r="D896" i="8"/>
  <c r="G474" i="8"/>
  <c r="D474" i="8"/>
  <c r="G649" i="8"/>
  <c r="D649" i="8"/>
  <c r="I283" i="8"/>
  <c r="D283" i="8"/>
  <c r="G634" i="8"/>
  <c r="D634" i="8"/>
  <c r="G961" i="8"/>
  <c r="D961" i="8"/>
  <c r="I724" i="8"/>
  <c r="D724" i="8"/>
  <c r="I146" i="8"/>
  <c r="D146" i="8"/>
  <c r="H29" i="8"/>
  <c r="D29" i="8"/>
  <c r="H769" i="8"/>
  <c r="D769" i="8"/>
  <c r="H405" i="8"/>
  <c r="D405" i="8"/>
  <c r="G247" i="8"/>
  <c r="D247" i="8"/>
  <c r="G964" i="8"/>
  <c r="D964" i="8"/>
  <c r="I9" i="8"/>
  <c r="D9" i="8"/>
  <c r="H387" i="8"/>
  <c r="D387" i="8"/>
  <c r="J624" i="8"/>
  <c r="D624" i="8"/>
  <c r="I121" i="8"/>
  <c r="D121" i="8"/>
  <c r="G782" i="8"/>
  <c r="D782" i="8"/>
  <c r="J275" i="8"/>
  <c r="D275" i="8"/>
  <c r="I185" i="8"/>
  <c r="D185" i="8"/>
  <c r="G17" i="8"/>
  <c r="D17" i="8"/>
  <c r="J535" i="8"/>
  <c r="D535" i="8"/>
  <c r="J117" i="8"/>
  <c r="D117" i="8"/>
  <c r="J365" i="8"/>
  <c r="D365" i="8"/>
  <c r="G522" i="8"/>
  <c r="D522" i="8"/>
  <c r="J595" i="8"/>
  <c r="D595" i="8"/>
  <c r="H797" i="8"/>
  <c r="D797" i="8"/>
  <c r="H997" i="8"/>
  <c r="D997" i="8"/>
  <c r="G741" i="8"/>
  <c r="D741" i="8"/>
  <c r="H341" i="8"/>
  <c r="D341" i="8"/>
  <c r="G733" i="8"/>
  <c r="D733" i="8"/>
  <c r="I174" i="8"/>
  <c r="D174" i="8"/>
  <c r="I461" i="8"/>
  <c r="D461" i="8"/>
  <c r="J51" i="8"/>
  <c r="D51" i="8"/>
  <c r="J663" i="8"/>
  <c r="D663" i="8"/>
  <c r="J888" i="8"/>
  <c r="D888" i="8"/>
  <c r="I984" i="8"/>
  <c r="D984" i="8"/>
  <c r="I583" i="8"/>
  <c r="D583" i="8"/>
  <c r="I294" i="8"/>
  <c r="D294" i="8"/>
  <c r="H847" i="8"/>
  <c r="D847" i="8"/>
  <c r="H996" i="8"/>
  <c r="D996" i="8"/>
  <c r="G188" i="8"/>
  <c r="D188" i="8"/>
  <c r="G932" i="8"/>
  <c r="D932" i="8"/>
  <c r="H899" i="8"/>
  <c r="D899" i="8"/>
  <c r="H953" i="8"/>
  <c r="D953" i="8"/>
  <c r="G963" i="8"/>
  <c r="D963" i="8"/>
  <c r="I48" i="8"/>
  <c r="D48" i="8"/>
  <c r="I891" i="8"/>
  <c r="D891" i="8"/>
  <c r="H709" i="8"/>
  <c r="D709" i="8"/>
  <c r="G955" i="8"/>
  <c r="D955" i="8"/>
  <c r="H763" i="8"/>
  <c r="D763" i="8"/>
  <c r="I161" i="8"/>
  <c r="D161" i="8"/>
  <c r="J102" i="8"/>
  <c r="D102" i="8"/>
  <c r="I907" i="8"/>
  <c r="D907" i="8"/>
  <c r="I779" i="8"/>
  <c r="D779" i="8"/>
  <c r="I12" i="8"/>
  <c r="D12" i="8"/>
  <c r="I853" i="8"/>
  <c r="D853" i="8"/>
  <c r="H631" i="8"/>
  <c r="D631" i="8"/>
  <c r="J604" i="8"/>
  <c r="D604" i="8"/>
  <c r="H95" i="8"/>
  <c r="D95" i="8"/>
  <c r="G808" i="8"/>
  <c r="D808" i="8"/>
  <c r="G708" i="8"/>
  <c r="D708" i="8"/>
  <c r="H94" i="8"/>
  <c r="D94" i="8"/>
  <c r="I415" i="8"/>
  <c r="D415" i="8"/>
  <c r="J664" i="8"/>
  <c r="D664" i="8"/>
  <c r="I715" i="8"/>
  <c r="D715" i="8"/>
  <c r="I414" i="8"/>
  <c r="D414" i="8"/>
  <c r="H969" i="8"/>
  <c r="D969" i="8"/>
  <c r="G529" i="8"/>
  <c r="D529" i="8"/>
  <c r="G34" i="8"/>
  <c r="D34" i="8"/>
  <c r="J369" i="8"/>
  <c r="D369" i="8"/>
  <c r="J63" i="8"/>
  <c r="D63" i="8"/>
  <c r="I823" i="8"/>
  <c r="D823" i="8"/>
  <c r="G44" i="8"/>
  <c r="D44" i="8"/>
  <c r="I368" i="8"/>
  <c r="D368" i="8"/>
  <c r="I145" i="8"/>
  <c r="D145" i="8"/>
  <c r="G194" i="8"/>
  <c r="D194" i="8"/>
  <c r="I747" i="8"/>
  <c r="D747" i="8"/>
  <c r="H236" i="8"/>
  <c r="D236" i="8"/>
  <c r="J86" i="8"/>
  <c r="D86" i="8"/>
  <c r="G72" i="8"/>
  <c r="D72" i="8"/>
  <c r="H930" i="8"/>
  <c r="D930" i="8"/>
  <c r="I770" i="8"/>
  <c r="D770" i="8"/>
  <c r="J832" i="8"/>
  <c r="D832" i="8"/>
  <c r="G295" i="8"/>
  <c r="D295" i="8"/>
  <c r="H862" i="8"/>
  <c r="D862" i="8"/>
  <c r="H922" i="8"/>
  <c r="D922" i="8"/>
  <c r="G756" i="8"/>
  <c r="D756" i="8"/>
  <c r="H351" i="8"/>
  <c r="D351" i="8"/>
  <c r="H596" i="8"/>
  <c r="D596" i="8"/>
  <c r="H386" i="8"/>
  <c r="D386" i="8"/>
  <c r="J485" i="8"/>
  <c r="D485" i="8"/>
  <c r="H418" i="8"/>
  <c r="D418" i="8"/>
  <c r="J231" i="8"/>
  <c r="D231" i="8"/>
  <c r="I576" i="8"/>
  <c r="D576" i="8"/>
  <c r="I537" i="8"/>
  <c r="D537" i="8"/>
  <c r="H377" i="8"/>
  <c r="D377" i="8"/>
  <c r="G402" i="8"/>
  <c r="D402" i="8"/>
  <c r="H800" i="8"/>
  <c r="D800" i="8"/>
  <c r="J382" i="8"/>
  <c r="D382" i="8"/>
  <c r="J378" i="8"/>
  <c r="D378" i="8"/>
  <c r="I406" i="8"/>
  <c r="D406" i="8"/>
  <c r="I218" i="8"/>
  <c r="D218" i="8"/>
  <c r="G119" i="8"/>
  <c r="D119" i="8"/>
  <c r="G820" i="8"/>
  <c r="D820" i="8"/>
  <c r="J314" i="8"/>
  <c r="D314" i="8"/>
  <c r="J470" i="8"/>
  <c r="D470" i="8"/>
  <c r="J912" i="8"/>
  <c r="D912" i="8"/>
  <c r="H788" i="8"/>
  <c r="D788" i="8"/>
  <c r="G437" i="8"/>
  <c r="D437" i="8"/>
  <c r="H490" i="8"/>
  <c r="D490" i="8"/>
  <c r="G653" i="8"/>
  <c r="D653" i="8"/>
  <c r="G332" i="8"/>
  <c r="D332" i="8"/>
  <c r="H701" i="8"/>
  <c r="D701" i="8"/>
  <c r="I554" i="8"/>
  <c r="D554" i="8"/>
  <c r="J585" i="8"/>
  <c r="D585" i="8"/>
  <c r="I944" i="8"/>
  <c r="D944" i="8"/>
  <c r="I718" i="8"/>
  <c r="D718" i="8"/>
  <c r="H419" i="8"/>
  <c r="D419" i="8"/>
  <c r="H856" i="8"/>
  <c r="D856" i="8"/>
  <c r="J454" i="8"/>
  <c r="D454" i="8"/>
  <c r="H430" i="8"/>
  <c r="D430" i="8"/>
  <c r="I949" i="8"/>
  <c r="D949" i="8"/>
  <c r="I79" i="8"/>
  <c r="D79" i="8"/>
  <c r="H848" i="8"/>
  <c r="D848" i="8"/>
  <c r="H940" i="8"/>
  <c r="D940" i="8"/>
  <c r="G840" i="8"/>
  <c r="D840" i="8"/>
  <c r="G288" i="8"/>
  <c r="D288" i="8"/>
  <c r="H149" i="8"/>
  <c r="D149" i="8"/>
  <c r="I805" i="8"/>
  <c r="D805" i="8"/>
  <c r="H620" i="8"/>
  <c r="D620" i="8"/>
  <c r="I975" i="8"/>
  <c r="D975" i="8"/>
  <c r="J988" i="8"/>
  <c r="D988" i="8"/>
  <c r="H885" i="8"/>
  <c r="D885" i="8"/>
  <c r="H1001" i="8"/>
  <c r="D1001" i="8"/>
  <c r="G924" i="8"/>
  <c r="D924" i="8"/>
  <c r="H244" i="8"/>
  <c r="D244" i="8"/>
  <c r="I223" i="8"/>
  <c r="D223" i="8"/>
  <c r="H556" i="8"/>
  <c r="D556" i="8"/>
  <c r="I695" i="8"/>
  <c r="D695" i="8"/>
  <c r="H764" i="8"/>
  <c r="D764" i="8"/>
  <c r="H515" i="8"/>
  <c r="D515" i="8"/>
  <c r="G755" i="8"/>
  <c r="D755" i="8"/>
  <c r="G967" i="8"/>
  <c r="D967" i="8"/>
  <c r="H440" i="8"/>
  <c r="D440" i="8"/>
  <c r="G70" i="8"/>
  <c r="D70" i="8"/>
  <c r="H476" i="8"/>
  <c r="D476" i="8"/>
  <c r="H22" i="8"/>
  <c r="D22" i="8"/>
  <c r="J291" i="8"/>
  <c r="D291" i="8"/>
  <c r="I420" i="8"/>
  <c r="D420" i="8"/>
  <c r="H99" i="8"/>
  <c r="D99" i="8"/>
  <c r="H391" i="8"/>
  <c r="D391" i="8"/>
  <c r="I166" i="8"/>
  <c r="D166" i="8"/>
  <c r="I135" i="8"/>
  <c r="D135" i="8"/>
  <c r="H538" i="8"/>
  <c r="D538" i="8"/>
  <c r="J986" i="8"/>
  <c r="D986" i="8"/>
  <c r="I59" i="8"/>
  <c r="D59" i="8"/>
  <c r="G338" i="8"/>
  <c r="D338" i="8"/>
  <c r="I460" i="8"/>
  <c r="D460" i="8"/>
  <c r="J362" i="8"/>
  <c r="D362" i="8"/>
  <c r="I164" i="8"/>
  <c r="D164" i="8"/>
  <c r="G89" i="8"/>
  <c r="D89" i="8"/>
  <c r="J139" i="8"/>
  <c r="D139" i="8"/>
  <c r="H731" i="8"/>
  <c r="D731" i="8"/>
  <c r="H28" i="8"/>
  <c r="D28" i="8"/>
  <c r="H20" i="8"/>
  <c r="D20" i="8"/>
  <c r="I573" i="8"/>
  <c r="D573" i="8"/>
  <c r="H180" i="8"/>
  <c r="D180" i="8"/>
  <c r="H385" i="8"/>
  <c r="D385" i="8"/>
  <c r="J706" i="8"/>
  <c r="D706" i="8"/>
  <c r="I438" i="8"/>
  <c r="D438" i="8"/>
  <c r="J562" i="8"/>
  <c r="D562" i="8"/>
  <c r="H608" i="8"/>
  <c r="D608" i="8"/>
  <c r="I957" i="8"/>
  <c r="D957" i="8"/>
  <c r="G866" i="8"/>
  <c r="D866" i="8"/>
  <c r="I389" i="8"/>
  <c r="D389" i="8"/>
  <c r="H407" i="8"/>
  <c r="D407" i="8"/>
  <c r="G672" i="8"/>
  <c r="D672" i="8"/>
  <c r="G254" i="8"/>
  <c r="D254" i="8"/>
  <c r="H250" i="8"/>
  <c r="D250" i="8"/>
  <c r="I278" i="8"/>
  <c r="D278" i="8"/>
  <c r="I33" i="8"/>
  <c r="D33" i="8"/>
  <c r="I287" i="8"/>
  <c r="D287" i="8"/>
  <c r="H914" i="8"/>
  <c r="D914" i="8"/>
  <c r="I274" i="8"/>
  <c r="D274" i="8"/>
  <c r="G893" i="8"/>
  <c r="D893" i="8"/>
  <c r="G882" i="8"/>
  <c r="D882" i="8"/>
  <c r="I183" i="8"/>
  <c r="D183" i="8"/>
  <c r="G7" i="8"/>
  <c r="D7" i="8"/>
  <c r="G816" i="8"/>
  <c r="D816" i="8"/>
  <c r="H560" i="8"/>
  <c r="D560" i="8"/>
  <c r="J785" i="8"/>
  <c r="D785" i="8"/>
  <c r="I956" i="8"/>
  <c r="D956" i="8"/>
  <c r="J910" i="8"/>
  <c r="D910" i="8"/>
  <c r="J428" i="8"/>
  <c r="D428" i="8"/>
  <c r="G667" i="8"/>
  <c r="D667" i="8"/>
  <c r="I774" i="8"/>
  <c r="D774" i="8"/>
  <c r="H100" i="8"/>
  <c r="D100" i="8"/>
  <c r="H195" i="8"/>
  <c r="D195" i="8"/>
  <c r="H309" i="8"/>
  <c r="D309" i="8"/>
  <c r="J213" i="8"/>
  <c r="D213" i="8"/>
  <c r="I696" i="8"/>
  <c r="D696" i="8"/>
  <c r="H15" i="8"/>
  <c r="D15" i="8"/>
  <c r="H156" i="8"/>
  <c r="D156" i="8"/>
  <c r="G339" i="8"/>
  <c r="D339" i="8"/>
  <c r="J557" i="8"/>
  <c r="D557" i="8"/>
  <c r="H828" i="8"/>
  <c r="D828" i="8"/>
  <c r="I710" i="8"/>
  <c r="D710" i="8"/>
  <c r="I488" i="8"/>
  <c r="D488" i="8"/>
  <c r="H572" i="8"/>
  <c r="D572" i="8"/>
  <c r="J872" i="8"/>
  <c r="D872" i="8"/>
  <c r="J417" i="8"/>
  <c r="D417" i="8"/>
  <c r="H905" i="8"/>
  <c r="D905" i="8"/>
  <c r="J92" i="8"/>
  <c r="D92" i="8"/>
  <c r="H966" i="8"/>
  <c r="D966" i="8"/>
  <c r="G851" i="8"/>
  <c r="D851" i="8"/>
  <c r="H783" i="8"/>
  <c r="D783" i="8"/>
  <c r="G836" i="8"/>
  <c r="D836" i="8"/>
  <c r="H212" i="8"/>
  <c r="D212" i="8"/>
  <c r="I571" i="8"/>
  <c r="D571" i="8"/>
  <c r="I887" i="8"/>
  <c r="D887" i="8"/>
  <c r="H484" i="8"/>
  <c r="D484" i="8"/>
  <c r="G760" i="8"/>
  <c r="D760" i="8"/>
  <c r="H951" i="8"/>
  <c r="D951" i="8"/>
  <c r="H423" i="8"/>
  <c r="D423" i="8"/>
  <c r="I897" i="8"/>
  <c r="D897" i="8"/>
  <c r="J968" i="8"/>
  <c r="D968" i="8"/>
  <c r="H229" i="8"/>
  <c r="D229" i="8"/>
  <c r="H947" i="8"/>
  <c r="D947" i="8"/>
  <c r="H109" i="8"/>
  <c r="D109" i="8"/>
  <c r="I134" i="8"/>
  <c r="D134" i="8"/>
  <c r="J939" i="8"/>
  <c r="D939" i="8"/>
  <c r="H721" i="8"/>
  <c r="D721" i="8"/>
  <c r="H516" i="8"/>
  <c r="D516" i="8"/>
  <c r="G201" i="8"/>
  <c r="D201" i="8"/>
  <c r="J475" i="8"/>
  <c r="D475" i="8"/>
  <c r="I611" i="8"/>
  <c r="D611" i="8"/>
  <c r="I875" i="8"/>
  <c r="D875" i="8"/>
  <c r="H120" i="8"/>
  <c r="D120" i="8"/>
  <c r="G486" i="8"/>
  <c r="D486" i="8"/>
  <c r="H35" i="8"/>
  <c r="D35" i="8"/>
  <c r="J456" i="8"/>
  <c r="D456" i="8"/>
  <c r="J264" i="8"/>
  <c r="D264" i="8"/>
  <c r="I621" i="8"/>
  <c r="D621" i="8"/>
  <c r="G883" i="8"/>
  <c r="D883" i="8"/>
  <c r="G190" i="8"/>
  <c r="D190" i="8"/>
  <c r="J541" i="8"/>
  <c r="D541" i="8"/>
  <c r="I268" i="8"/>
  <c r="D268" i="8"/>
  <c r="J177" i="8"/>
  <c r="D177" i="8"/>
  <c r="J4" i="8"/>
  <c r="D4" i="8"/>
  <c r="H775" i="8"/>
  <c r="D775" i="8"/>
  <c r="J833" i="8"/>
  <c r="D833" i="8"/>
  <c r="I786" i="8"/>
  <c r="D786" i="8"/>
  <c r="J42" i="8"/>
  <c r="D42" i="8"/>
  <c r="H434" i="8"/>
  <c r="D434" i="8"/>
  <c r="H60" i="8"/>
  <c r="D60" i="8"/>
  <c r="I220" i="8"/>
  <c r="D220" i="8"/>
  <c r="G831" i="8"/>
  <c r="D831" i="8"/>
  <c r="G296" i="8"/>
  <c r="D296" i="8"/>
  <c r="G768" i="8"/>
  <c r="D768" i="8"/>
  <c r="J210" i="8"/>
  <c r="D210" i="8"/>
  <c r="H482" i="8"/>
  <c r="D482" i="8"/>
  <c r="J877" i="8"/>
  <c r="D877" i="8"/>
  <c r="H542" i="8"/>
  <c r="D542" i="8"/>
  <c r="J978" i="8"/>
  <c r="D978" i="8"/>
  <c r="J354" i="8"/>
  <c r="D354" i="8"/>
  <c r="I98" i="8"/>
  <c r="D98" i="8"/>
  <c r="H694" i="8"/>
  <c r="D694" i="8"/>
  <c r="I23" i="8"/>
  <c r="D23" i="8"/>
  <c r="G601" i="8"/>
  <c r="D601" i="8"/>
  <c r="H87" i="8"/>
  <c r="D87" i="8"/>
  <c r="H480" i="8"/>
  <c r="D480" i="8"/>
  <c r="J371" i="8"/>
  <c r="D371" i="8"/>
  <c r="I399" i="8"/>
  <c r="D399" i="8"/>
  <c r="I564" i="8"/>
  <c r="D564" i="8"/>
  <c r="I734" i="8"/>
  <c r="D734" i="8"/>
  <c r="H758" i="8"/>
  <c r="D758" i="8"/>
  <c r="H215" i="8"/>
  <c r="D215" i="8"/>
  <c r="I517" i="8"/>
  <c r="D517" i="8"/>
  <c r="J151" i="8"/>
  <c r="D151" i="8"/>
  <c r="J846" i="8"/>
  <c r="D846" i="8"/>
  <c r="J806" i="8"/>
  <c r="D806" i="8"/>
  <c r="I441" i="8"/>
  <c r="D441" i="8"/>
  <c r="J495" i="8"/>
  <c r="D495" i="8"/>
  <c r="H654" i="8"/>
  <c r="D654" i="8"/>
  <c r="H383" i="8"/>
  <c r="D383" i="8"/>
  <c r="G496" i="8"/>
  <c r="D496" i="8"/>
  <c r="I504" i="8"/>
  <c r="D504" i="8"/>
  <c r="J688" i="8"/>
  <c r="D688" i="8"/>
  <c r="J874" i="8"/>
  <c r="D874" i="8"/>
  <c r="J175" i="8"/>
  <c r="D175" i="8"/>
  <c r="H565" i="8"/>
  <c r="D565" i="8"/>
  <c r="H693" i="8"/>
  <c r="D693" i="8"/>
  <c r="H622" i="8"/>
  <c r="D622" i="8"/>
  <c r="H927" i="8"/>
  <c r="D927" i="8"/>
  <c r="G359" i="8"/>
  <c r="D359" i="8"/>
  <c r="H492" i="8"/>
  <c r="D492" i="8"/>
  <c r="H468" i="8"/>
  <c r="D468" i="8"/>
  <c r="I739" i="8"/>
  <c r="D739" i="8"/>
  <c r="G588" i="8"/>
  <c r="D588" i="8"/>
  <c r="J540" i="8"/>
  <c r="D540" i="8"/>
  <c r="J128" i="8"/>
  <c r="D128" i="8"/>
  <c r="H110" i="8"/>
  <c r="D110" i="8"/>
  <c r="I320" i="8"/>
  <c r="D320" i="8"/>
  <c r="I392" i="8"/>
  <c r="D392" i="8"/>
  <c r="I521" i="8"/>
  <c r="D521" i="8"/>
  <c r="J829" i="8"/>
  <c r="D829" i="8"/>
  <c r="J651" i="8"/>
  <c r="D651" i="8"/>
  <c r="J737" i="8"/>
  <c r="D737" i="8"/>
  <c r="G270" i="8"/>
  <c r="D270" i="8"/>
  <c r="G252" i="8"/>
  <c r="D252" i="8"/>
  <c r="J74" i="8"/>
  <c r="D74" i="8"/>
  <c r="H390" i="8"/>
  <c r="D390" i="8"/>
  <c r="G344" i="8"/>
  <c r="D344" i="8"/>
  <c r="H376" i="8"/>
  <c r="D376" i="8"/>
  <c r="G740" i="8"/>
  <c r="D740" i="8"/>
  <c r="H233" i="8"/>
  <c r="D233" i="8"/>
  <c r="I519" i="8"/>
  <c r="D519" i="8"/>
  <c r="G539" i="8"/>
  <c r="D539" i="8"/>
  <c r="H632" i="8"/>
  <c r="D632" i="8"/>
  <c r="H337" i="8"/>
  <c r="D337" i="8"/>
  <c r="J934" i="8"/>
  <c r="D934" i="8"/>
  <c r="H635" i="8"/>
  <c r="D635" i="8"/>
  <c r="I973" i="8"/>
  <c r="D973" i="8"/>
  <c r="J568" i="8"/>
  <c r="D568" i="8"/>
  <c r="J895" i="8"/>
  <c r="D895" i="8"/>
  <c r="G325" i="8"/>
  <c r="D325" i="8"/>
  <c r="H235" i="8"/>
  <c r="D235" i="8"/>
  <c r="J494" i="8"/>
  <c r="D494" i="8"/>
  <c r="H240" i="8"/>
  <c r="D240" i="8"/>
  <c r="I76" i="8"/>
  <c r="D76" i="8"/>
  <c r="G349" i="8"/>
  <c r="D349" i="8"/>
  <c r="I679" i="8"/>
  <c r="D679" i="8"/>
  <c r="H112" i="8"/>
  <c r="D112" i="8"/>
  <c r="H157" i="8"/>
  <c r="D157" i="8"/>
  <c r="H593" i="8"/>
  <c r="D593" i="8"/>
  <c r="H61" i="8"/>
  <c r="D61" i="8"/>
  <c r="H489" i="8"/>
  <c r="D489" i="8"/>
  <c r="H221" i="8"/>
  <c r="D221" i="8"/>
  <c r="H24" i="8"/>
  <c r="D24" i="8"/>
  <c r="J711" i="8"/>
  <c r="D711" i="8"/>
  <c r="I45" i="8"/>
  <c r="D45" i="8"/>
  <c r="G559" i="8"/>
  <c r="D559" i="8"/>
  <c r="I971" i="8"/>
  <c r="D971" i="8"/>
  <c r="G591" i="8"/>
  <c r="D591" i="8"/>
  <c r="G193" i="8"/>
  <c r="D193" i="8"/>
  <c r="H104" i="8"/>
  <c r="D104" i="8"/>
  <c r="G159" i="8"/>
  <c r="D159" i="8"/>
  <c r="G184" i="8"/>
  <c r="D184" i="8"/>
  <c r="J623" i="8"/>
  <c r="D623" i="8"/>
  <c r="J483" i="8"/>
  <c r="D483" i="8"/>
  <c r="G612" i="8"/>
  <c r="D612" i="8"/>
  <c r="H725" i="8"/>
  <c r="D725" i="8"/>
  <c r="J447" i="8"/>
  <c r="D447" i="8"/>
  <c r="G241" i="8"/>
  <c r="D241" i="8"/>
  <c r="J43" i="8"/>
  <c r="D43" i="8"/>
  <c r="H606" i="8"/>
  <c r="D606" i="8"/>
  <c r="H898" i="8"/>
  <c r="D898" i="8"/>
  <c r="J825" i="8"/>
  <c r="D825" i="8"/>
  <c r="H884" i="8"/>
  <c r="D884" i="8"/>
  <c r="G991" i="8"/>
  <c r="D991" i="8"/>
  <c r="J196" i="8"/>
  <c r="D196" i="8"/>
  <c r="J584" i="8"/>
  <c r="D584" i="8"/>
  <c r="J361" i="8"/>
  <c r="D361" i="8"/>
  <c r="J532" i="8"/>
  <c r="D532" i="8"/>
  <c r="J773" i="8"/>
  <c r="D773" i="8"/>
  <c r="G289" i="8"/>
  <c r="D289" i="8"/>
  <c r="I133" i="8"/>
  <c r="D133" i="8"/>
  <c r="H503" i="8"/>
  <c r="D503" i="8"/>
  <c r="H444" i="8"/>
  <c r="D444" i="8"/>
  <c r="H410" i="8"/>
  <c r="D410" i="8"/>
  <c r="J610" i="8"/>
  <c r="D610" i="8"/>
  <c r="G666" i="8"/>
  <c r="D666" i="8"/>
  <c r="I251" i="8"/>
  <c r="D251" i="8"/>
  <c r="H566" i="8"/>
  <c r="D566" i="8"/>
  <c r="H10" i="8"/>
  <c r="D10" i="8"/>
  <c r="J450" i="8"/>
  <c r="D450" i="8"/>
  <c r="I685" i="8"/>
  <c r="D685" i="8"/>
  <c r="J945" i="8"/>
  <c r="D945" i="8"/>
  <c r="J753" i="8"/>
  <c r="D753" i="8"/>
  <c r="I403" i="8"/>
  <c r="D403" i="8"/>
  <c r="J781" i="8"/>
  <c r="D781" i="8"/>
  <c r="I214" i="8"/>
  <c r="D214" i="8"/>
  <c r="I674" i="8"/>
  <c r="D674" i="8"/>
  <c r="I670" i="8"/>
  <c r="D670" i="8"/>
  <c r="G602" i="8"/>
  <c r="D602" i="8"/>
  <c r="H279" i="8"/>
  <c r="D279" i="8"/>
  <c r="I881" i="8"/>
  <c r="D881" i="8"/>
  <c r="J958" i="8"/>
  <c r="D958" i="8"/>
  <c r="I446" i="8"/>
  <c r="D446" i="8"/>
  <c r="G698" i="8"/>
  <c r="D698" i="8"/>
  <c r="I473" i="8"/>
  <c r="D473" i="8"/>
  <c r="I941" i="8"/>
  <c r="D941" i="8"/>
  <c r="J761" i="8"/>
  <c r="D761" i="8"/>
  <c r="I530" i="8"/>
  <c r="D530" i="8"/>
  <c r="J478" i="8"/>
  <c r="D478" i="8"/>
  <c r="H502" i="8"/>
  <c r="D502" i="8"/>
  <c r="J657" i="8"/>
  <c r="D657" i="8"/>
  <c r="H736" i="8"/>
  <c r="D736" i="8"/>
  <c r="J662" i="8"/>
  <c r="D662" i="8"/>
  <c r="J505" i="8"/>
  <c r="D505" i="8"/>
  <c r="J690" i="8"/>
  <c r="D690" i="8"/>
  <c r="J917" i="8"/>
  <c r="D917" i="8"/>
  <c r="G746" i="8"/>
  <c r="D746" i="8"/>
  <c r="I498" i="8"/>
  <c r="D498" i="8"/>
  <c r="H303" i="8"/>
  <c r="D303" i="8"/>
  <c r="G481" i="8"/>
  <c r="D481" i="8"/>
  <c r="G660" i="8"/>
  <c r="D660" i="8"/>
  <c r="J849" i="8"/>
  <c r="D849" i="8"/>
  <c r="J603" i="8"/>
  <c r="D603" i="8"/>
  <c r="I810" i="8"/>
  <c r="D810" i="8"/>
  <c r="H548" i="8"/>
  <c r="D548" i="8"/>
  <c r="G682" i="8"/>
  <c r="D682" i="8"/>
  <c r="H256" i="8"/>
  <c r="D256" i="8"/>
  <c r="J714" i="8"/>
  <c r="D714" i="8"/>
  <c r="G400" i="8"/>
  <c r="D400" i="8"/>
  <c r="G373" i="8"/>
  <c r="D373" i="8"/>
  <c r="G330" i="8"/>
  <c r="D330" i="8"/>
  <c r="J821" i="8"/>
  <c r="D821" i="8"/>
  <c r="H993" i="8"/>
  <c r="D993" i="8"/>
  <c r="J356" i="8"/>
  <c r="D356" i="8"/>
  <c r="J281" i="8"/>
  <c r="D281" i="8"/>
  <c r="H659" i="8"/>
  <c r="D659" i="8"/>
  <c r="H260" i="8"/>
  <c r="D260" i="8"/>
  <c r="I64" i="8"/>
  <c r="D64" i="8"/>
  <c r="G160" i="8"/>
  <c r="D160" i="8"/>
  <c r="J465" i="8"/>
  <c r="D465" i="8"/>
  <c r="J723" i="8"/>
  <c r="D723" i="8"/>
  <c r="J925" i="8"/>
  <c r="D925" i="8"/>
  <c r="J127" i="8"/>
  <c r="D127" i="8"/>
  <c r="I243" i="8"/>
  <c r="D243" i="8"/>
  <c r="J84" i="8"/>
  <c r="D84" i="8"/>
  <c r="J703" i="8"/>
  <c r="D703" i="8"/>
  <c r="I424" i="8"/>
  <c r="D424" i="8"/>
  <c r="I780" i="8"/>
  <c r="D780" i="8"/>
  <c r="I401" i="8"/>
  <c r="D401" i="8"/>
  <c r="I6" i="8"/>
  <c r="D6" i="8"/>
  <c r="I526" i="8"/>
  <c r="D526" i="8"/>
  <c r="I116" i="8"/>
  <c r="D116" i="8"/>
  <c r="I107" i="8"/>
  <c r="D107" i="8"/>
  <c r="J705" i="8"/>
  <c r="D705" i="8"/>
  <c r="J523" i="8"/>
  <c r="D523" i="8"/>
  <c r="H824" i="8"/>
  <c r="D824" i="8"/>
  <c r="H455" i="8"/>
  <c r="D455" i="8"/>
  <c r="I304" i="8"/>
  <c r="D304" i="8"/>
  <c r="J142" i="8"/>
  <c r="D142" i="8"/>
  <c r="H555" i="8"/>
  <c r="D555" i="8"/>
  <c r="J614" i="8"/>
  <c r="D614" i="8"/>
  <c r="H543" i="8"/>
  <c r="D543" i="8"/>
  <c r="G163" i="8"/>
  <c r="D163" i="8"/>
  <c r="J589" i="8"/>
  <c r="D589" i="8"/>
  <c r="H712" i="8"/>
  <c r="D712" i="8"/>
  <c r="J471" i="8"/>
  <c r="D471" i="8"/>
  <c r="J105" i="8"/>
  <c r="D105" i="8"/>
  <c r="G493" i="8"/>
  <c r="D493" i="8"/>
  <c r="I198" i="8"/>
  <c r="D198" i="8"/>
  <c r="G812" i="8"/>
  <c r="D812" i="8"/>
  <c r="H113" i="8"/>
  <c r="D113" i="8"/>
  <c r="G230" i="8"/>
  <c r="D230" i="8"/>
  <c r="J567" i="8"/>
  <c r="D567" i="8"/>
  <c r="G137" i="8"/>
  <c r="D137" i="8"/>
  <c r="G77" i="8"/>
  <c r="D77" i="8"/>
  <c r="I870" i="8"/>
  <c r="D870" i="8"/>
  <c r="J172" i="8"/>
  <c r="D172" i="8"/>
  <c r="H531" i="8"/>
  <c r="D531" i="8"/>
  <c r="J173" i="8"/>
  <c r="D173" i="8"/>
  <c r="H507" i="8"/>
  <c r="D507" i="8"/>
  <c r="H864" i="8"/>
  <c r="D864" i="8"/>
  <c r="H858" i="8"/>
  <c r="D858" i="8"/>
  <c r="G421" i="8"/>
  <c r="D421" i="8"/>
  <c r="I155" i="8"/>
  <c r="D155" i="8"/>
  <c r="J55" i="8"/>
  <c r="D55" i="8"/>
  <c r="I938" i="8"/>
  <c r="D938" i="8"/>
  <c r="H302" i="8"/>
  <c r="D302" i="8"/>
  <c r="G457" i="8"/>
  <c r="D457" i="8"/>
  <c r="G448" i="8"/>
  <c r="D448" i="8"/>
  <c r="I16" i="8"/>
  <c r="D16" i="8"/>
  <c r="H280" i="8"/>
  <c r="D280" i="8"/>
  <c r="I97" i="8"/>
  <c r="D97" i="8"/>
  <c r="H802" i="8"/>
  <c r="D802" i="8"/>
  <c r="J167" i="8"/>
  <c r="D167" i="8"/>
  <c r="J722" i="8"/>
  <c r="D722" i="8"/>
  <c r="I546" i="8"/>
  <c r="D546" i="8"/>
  <c r="J39" i="8"/>
  <c r="D39" i="8"/>
  <c r="H290" i="8"/>
  <c r="D290" i="8"/>
  <c r="H258" i="8"/>
  <c r="D258" i="8"/>
  <c r="H625" i="8"/>
  <c r="D625" i="8"/>
  <c r="H549" i="8"/>
  <c r="D549" i="8"/>
  <c r="G926" i="8"/>
  <c r="D926" i="8"/>
  <c r="I886" i="8"/>
  <c r="D886" i="8"/>
  <c r="I18" i="8"/>
  <c r="D18" i="8"/>
  <c r="I367" i="8"/>
  <c r="D367" i="8"/>
  <c r="H738" i="8"/>
  <c r="D738" i="8"/>
  <c r="G677" i="8"/>
  <c r="D677" i="8"/>
  <c r="J798" i="8"/>
  <c r="D798" i="8"/>
  <c r="H954" i="8"/>
  <c r="D954" i="8"/>
  <c r="H578" i="8"/>
  <c r="D578" i="8"/>
  <c r="J411" i="8"/>
  <c r="D411" i="8"/>
  <c r="H286" i="8"/>
  <c r="D286" i="8"/>
  <c r="I282" i="8"/>
  <c r="D282" i="8"/>
  <c r="I948" i="8"/>
  <c r="D948" i="8"/>
  <c r="G581" i="8"/>
  <c r="D581" i="8"/>
  <c r="J894" i="8"/>
  <c r="D894" i="8"/>
  <c r="J890" i="8"/>
  <c r="D890" i="8"/>
  <c r="I918" i="8"/>
  <c r="D918" i="8"/>
  <c r="G219" i="8"/>
  <c r="D219" i="8"/>
  <c r="H343" i="8"/>
  <c r="D343" i="8"/>
  <c r="G222" i="8"/>
  <c r="D222" i="8"/>
  <c r="H246" i="8"/>
  <c r="D246" i="8"/>
  <c r="J830" i="8"/>
  <c r="D830" i="8"/>
  <c r="G342" i="8"/>
  <c r="D342" i="8"/>
  <c r="G409" i="8"/>
  <c r="D409" i="8"/>
  <c r="G873" i="8"/>
  <c r="D873" i="8"/>
  <c r="G234" i="8"/>
  <c r="D234" i="8"/>
  <c r="J242" i="8"/>
  <c r="D242" i="8"/>
  <c r="I804" i="8"/>
  <c r="D804" i="8"/>
  <c r="H626" i="8"/>
  <c r="D626" i="8"/>
  <c r="I942" i="8"/>
  <c r="D942" i="8"/>
  <c r="H426" i="8"/>
  <c r="D426" i="8"/>
  <c r="J217" i="8"/>
  <c r="D217" i="8"/>
  <c r="H298" i="8"/>
  <c r="D298" i="8"/>
  <c r="J36" i="8"/>
  <c r="D36" i="8"/>
  <c r="I817" i="8"/>
  <c r="D817" i="8"/>
  <c r="I618" i="8"/>
  <c r="D618" i="8"/>
  <c r="I186" i="8"/>
  <c r="D186" i="8"/>
  <c r="I143" i="8"/>
  <c r="D143" i="8"/>
  <c r="G748" i="8"/>
  <c r="D748" i="8"/>
  <c r="J345" i="8"/>
  <c r="D345" i="8"/>
  <c r="J641" i="8"/>
  <c r="D641" i="8"/>
  <c r="J96" i="8"/>
  <c r="D96" i="8"/>
  <c r="J472" i="8"/>
  <c r="D472" i="8"/>
  <c r="G809" i="8"/>
  <c r="D809" i="8"/>
  <c r="H467" i="8"/>
  <c r="D467" i="8"/>
  <c r="H607" i="8"/>
  <c r="D607" i="8"/>
  <c r="H900" i="8"/>
  <c r="D900" i="8"/>
  <c r="H527" i="8"/>
  <c r="D527" i="8"/>
  <c r="H799" i="8"/>
  <c r="D799" i="8"/>
  <c r="I181" i="8"/>
  <c r="D181" i="8"/>
  <c r="H892" i="8"/>
  <c r="D892" i="8"/>
  <c r="G388" i="8"/>
  <c r="D388" i="8"/>
  <c r="J719" i="8"/>
  <c r="D719" i="8"/>
  <c r="H813" i="8"/>
  <c r="D813" i="8"/>
  <c r="J380" i="8"/>
  <c r="D380" i="8"/>
  <c r="G463" i="8"/>
  <c r="D463" i="8"/>
  <c r="G979" i="8"/>
  <c r="D979" i="8"/>
  <c r="G876" i="8"/>
  <c r="D876" i="8"/>
  <c r="I547" i="8"/>
  <c r="D547" i="8"/>
  <c r="G678" i="8"/>
  <c r="D678" i="8"/>
  <c r="H191" i="8"/>
  <c r="D191" i="8"/>
  <c r="I255" i="8"/>
  <c r="D255" i="8"/>
  <c r="G179" i="8"/>
  <c r="D179" i="8"/>
  <c r="J771" i="8"/>
  <c r="D771" i="8"/>
  <c r="G452" i="8"/>
  <c r="D452" i="8"/>
  <c r="G445" i="8"/>
  <c r="D445" i="8"/>
  <c r="H148" i="8"/>
  <c r="D148" i="8"/>
  <c r="I69" i="8"/>
  <c r="D69" i="8"/>
  <c r="J689" i="8"/>
  <c r="D689" i="8"/>
  <c r="I627" i="8"/>
  <c r="D627" i="8"/>
  <c r="G136" i="8"/>
  <c r="D136" i="8"/>
  <c r="J144" i="8"/>
  <c r="D144" i="8"/>
  <c r="J232" i="8"/>
  <c r="D232" i="8"/>
  <c r="G433" i="8"/>
  <c r="D433" i="8"/>
  <c r="H393" i="8"/>
  <c r="D393" i="8"/>
  <c r="J908" i="8"/>
  <c r="D908" i="8"/>
  <c r="J717" i="8"/>
  <c r="D717" i="8"/>
  <c r="G617" i="8"/>
  <c r="D617" i="8"/>
  <c r="I200" i="8"/>
  <c r="D200" i="8"/>
  <c r="J749" i="8"/>
  <c r="D749" i="8"/>
  <c r="I328" i="8"/>
  <c r="D328" i="8"/>
  <c r="J169" i="8"/>
  <c r="D169" i="8"/>
  <c r="J943" i="8"/>
  <c r="D943" i="8"/>
  <c r="I348" i="8"/>
  <c r="D348" i="8"/>
  <c r="G257" i="8"/>
  <c r="D257" i="8"/>
  <c r="G333" i="8"/>
  <c r="D333" i="8"/>
  <c r="G81" i="8"/>
  <c r="D81" i="8"/>
  <c r="I613" i="8"/>
  <c r="D613" i="8"/>
  <c r="J765" i="8"/>
  <c r="D765" i="8"/>
  <c r="H683" i="8"/>
  <c r="D683" i="8"/>
  <c r="G819" i="8"/>
  <c r="D819" i="8"/>
  <c r="J903" i="8"/>
  <c r="D903" i="8"/>
  <c r="J237" i="8"/>
  <c r="D237" i="8"/>
  <c r="J125" i="8"/>
  <c r="D125" i="8"/>
  <c r="G83" i="8"/>
  <c r="D83" i="8"/>
  <c r="H187" i="8"/>
  <c r="D187" i="8"/>
  <c r="J226" i="8"/>
  <c r="D226" i="8"/>
  <c r="H992" i="8"/>
  <c r="D992" i="8"/>
  <c r="J203" i="8"/>
  <c r="D203" i="8"/>
  <c r="G398" i="8"/>
  <c r="D398" i="8"/>
  <c r="J616" i="8"/>
  <c r="D616" i="8"/>
  <c r="G171" i="8"/>
  <c r="D171" i="8"/>
  <c r="I227" i="8"/>
  <c r="D227" i="8"/>
  <c r="G834" i="8"/>
  <c r="D834" i="8"/>
  <c r="G114" i="8"/>
  <c r="D114" i="8"/>
  <c r="G178" i="8"/>
  <c r="D178" i="8"/>
  <c r="I704" i="8"/>
  <c r="D704" i="8"/>
  <c r="H357" i="8"/>
  <c r="D357" i="8"/>
  <c r="J702" i="8"/>
  <c r="D702" i="8"/>
  <c r="I374" i="8"/>
  <c r="D374" i="8"/>
  <c r="I794" i="8"/>
  <c r="D794" i="8"/>
  <c r="J123" i="8"/>
  <c r="D123" i="8"/>
  <c r="J327" i="8"/>
  <c r="D327" i="8"/>
  <c r="J350" i="8"/>
  <c r="D350" i="8"/>
  <c r="I442" i="8"/>
  <c r="D442" i="8"/>
  <c r="I3" i="8"/>
  <c r="D3" i="8"/>
  <c r="J103" i="8"/>
  <c r="D103" i="8"/>
  <c r="H154" i="8"/>
  <c r="D154" i="8"/>
  <c r="J726" i="8"/>
  <c r="D726" i="8"/>
  <c r="I692" i="8"/>
  <c r="D692" i="8"/>
  <c r="J766" i="8"/>
  <c r="D766" i="8"/>
  <c r="J762" i="8"/>
  <c r="D762" i="8"/>
  <c r="I91" i="8"/>
  <c r="D91" i="8"/>
  <c r="I837" i="8"/>
  <c r="D837" i="8"/>
  <c r="I315" i="8"/>
  <c r="D315" i="8"/>
  <c r="G318" i="8"/>
  <c r="D318" i="8"/>
  <c r="H90" i="8"/>
  <c r="D90" i="8"/>
  <c r="I916" i="8"/>
  <c r="D916" i="8"/>
  <c r="G370" i="8"/>
  <c r="D370" i="8"/>
  <c r="H597" i="8"/>
  <c r="D597" i="8"/>
  <c r="J147" i="8"/>
  <c r="D147" i="8"/>
  <c r="H311" i="8"/>
  <c r="D311" i="8"/>
  <c r="I946" i="8"/>
  <c r="D946" i="8"/>
  <c r="G228" i="8"/>
  <c r="D228" i="8"/>
  <c r="G31" i="8"/>
  <c r="D31" i="8"/>
  <c r="H75" i="8"/>
  <c r="D75" i="8"/>
  <c r="H863" i="8"/>
  <c r="D863" i="8"/>
  <c r="H501" i="8"/>
  <c r="D501" i="8"/>
  <c r="I998" i="8"/>
  <c r="D998" i="8"/>
  <c r="G394" i="8"/>
  <c r="D394" i="8"/>
  <c r="H845" i="8"/>
  <c r="D845" i="8"/>
  <c r="I675" i="8"/>
  <c r="D675" i="8"/>
  <c r="G355" i="8"/>
  <c r="D355" i="8"/>
  <c r="H592" i="8"/>
  <c r="D592" i="8"/>
  <c r="J648" i="8"/>
  <c r="D648" i="8"/>
  <c r="I360" i="8"/>
  <c r="D360" i="8"/>
  <c r="H249" i="8"/>
  <c r="D249" i="8"/>
  <c r="I855" i="8"/>
  <c r="D855" i="8"/>
  <c r="H312" i="8"/>
  <c r="D312" i="8"/>
  <c r="I983" i="8"/>
  <c r="D983" i="8"/>
  <c r="H32" i="8"/>
  <c r="D32" i="8"/>
  <c r="H792" i="8"/>
  <c r="D792" i="8"/>
  <c r="I316" i="8"/>
  <c r="D316" i="8"/>
  <c r="G707" i="8"/>
  <c r="D707" i="8"/>
  <c r="H732" i="8"/>
  <c r="D732" i="8"/>
  <c r="H561" i="8"/>
  <c r="D561" i="8"/>
  <c r="G757" i="8"/>
  <c r="D757" i="8"/>
  <c r="J276" i="8"/>
  <c r="D276" i="8"/>
  <c r="J265" i="8"/>
  <c r="D265" i="8"/>
  <c r="J479" i="8"/>
  <c r="D479" i="8"/>
  <c r="I629" i="8"/>
  <c r="D629" i="8"/>
  <c r="J277" i="8"/>
  <c r="D277" i="8"/>
  <c r="H413" i="8"/>
  <c r="D413" i="8"/>
  <c r="G331" i="8"/>
  <c r="D331" i="8"/>
  <c r="G795" i="8"/>
  <c r="D795" i="8"/>
  <c r="I609" i="8"/>
  <c r="D609" i="8"/>
  <c r="J646" i="8"/>
  <c r="D646" i="8"/>
  <c r="J921" i="8"/>
  <c r="D921" i="8"/>
  <c r="I308" i="8"/>
  <c r="D308" i="8"/>
  <c r="H902" i="8"/>
  <c r="D902" i="8"/>
  <c r="G520" i="8"/>
  <c r="D520" i="8"/>
  <c r="H56" i="8"/>
  <c r="D56" i="8"/>
  <c r="J767" i="8"/>
  <c r="D767" i="8"/>
  <c r="I647" i="8"/>
  <c r="D647" i="8"/>
  <c r="J801" i="8"/>
  <c r="D801" i="8"/>
  <c r="I639" i="8"/>
  <c r="D639" i="8"/>
  <c r="H208" i="8"/>
  <c r="D208" i="8"/>
  <c r="J101" i="8"/>
  <c r="D101" i="8"/>
  <c r="I65" i="8"/>
  <c r="D65" i="8"/>
  <c r="J759" i="8"/>
  <c r="D759" i="8"/>
  <c r="I272" i="8"/>
  <c r="D272" i="8"/>
  <c r="H751" i="8"/>
  <c r="D751" i="8"/>
  <c r="J404" i="8"/>
  <c r="D404" i="8"/>
  <c r="H204" i="8"/>
  <c r="D204" i="8"/>
  <c r="G691" i="8"/>
  <c r="D691" i="8"/>
  <c r="I384" i="8"/>
  <c r="D384" i="8"/>
  <c r="J552" i="8"/>
  <c r="D552" i="8"/>
  <c r="I49" i="8"/>
  <c r="D49" i="8"/>
  <c r="J108" i="8"/>
  <c r="D108" i="8"/>
  <c r="G253" i="8"/>
  <c r="D253" i="8"/>
  <c r="G838" i="8"/>
  <c r="D838" i="8"/>
  <c r="G189" i="8"/>
  <c r="D189" i="8"/>
  <c r="H126" i="8"/>
  <c r="D126" i="8"/>
  <c r="H41" i="8"/>
  <c r="D41" i="8"/>
  <c r="I248" i="8"/>
  <c r="D248" i="8"/>
  <c r="G73" i="8"/>
  <c r="D73" i="8"/>
  <c r="G209" i="8"/>
  <c r="D209" i="8"/>
  <c r="I317" i="8"/>
  <c r="D317" i="8"/>
  <c r="H511" i="8"/>
  <c r="D511" i="8"/>
  <c r="H901" i="8"/>
  <c r="D901" i="8"/>
  <c r="H871" i="8"/>
  <c r="D871" i="8"/>
  <c r="I299" i="8"/>
  <c r="D299" i="8"/>
  <c r="G858" i="8"/>
  <c r="H623" i="8"/>
  <c r="G490" i="8"/>
  <c r="J800" i="8"/>
  <c r="J360" i="8"/>
  <c r="J20" i="8"/>
  <c r="H255" i="8"/>
  <c r="J559" i="8"/>
  <c r="G428" i="8"/>
  <c r="H532" i="8"/>
  <c r="H404" i="8"/>
  <c r="J591" i="8"/>
  <c r="I104" i="8"/>
  <c r="H414" i="8"/>
  <c r="J517" i="8"/>
  <c r="I904" i="8"/>
  <c r="H152" i="8"/>
  <c r="J44" i="8"/>
  <c r="G312" i="8"/>
  <c r="G377" i="8"/>
  <c r="G830" i="8"/>
  <c r="G102" i="8"/>
  <c r="H604" i="8"/>
  <c r="G702" i="8"/>
  <c r="H36" i="8"/>
  <c r="I532" i="8"/>
  <c r="J322" i="8"/>
  <c r="J770" i="8"/>
  <c r="H692" i="8"/>
  <c r="G287" i="8"/>
  <c r="G626" i="8"/>
  <c r="J332" i="8"/>
  <c r="H275" i="8"/>
  <c r="G320" i="8"/>
  <c r="G696" i="8"/>
  <c r="J28" i="8"/>
  <c r="I152" i="8"/>
  <c r="J953" i="8"/>
  <c r="G404" i="8"/>
  <c r="J95" i="8"/>
  <c r="J193" i="8"/>
  <c r="I610" i="8"/>
  <c r="G414" i="8"/>
  <c r="H23" i="8"/>
  <c r="G343" i="8"/>
  <c r="I215" i="8"/>
  <c r="H392" i="8"/>
  <c r="H829" i="8"/>
  <c r="H220" i="8"/>
  <c r="H711" i="8"/>
  <c r="J944" i="8"/>
  <c r="H908" i="8"/>
  <c r="I708" i="8"/>
  <c r="H406" i="8"/>
  <c r="G195" i="8"/>
  <c r="J258" i="8"/>
  <c r="I830" i="8"/>
  <c r="J490" i="8"/>
  <c r="G641" i="8"/>
  <c r="H356" i="8"/>
  <c r="J188" i="8"/>
  <c r="H646" i="8"/>
  <c r="I22" i="8"/>
  <c r="I226" i="8"/>
  <c r="H618" i="8"/>
  <c r="H855" i="8"/>
  <c r="I707" i="8"/>
  <c r="G413" i="8"/>
  <c r="G988" i="8"/>
  <c r="H932" i="8"/>
  <c r="H272" i="8"/>
  <c r="I717" i="8"/>
  <c r="J120" i="8"/>
  <c r="J189" i="8"/>
  <c r="G444" i="8"/>
  <c r="J409" i="8"/>
  <c r="G538" i="8"/>
  <c r="H315" i="8"/>
  <c r="I470" i="8"/>
  <c r="J7" i="8"/>
  <c r="G434" i="8"/>
  <c r="J260" i="8"/>
  <c r="I829" i="8"/>
  <c r="I757" i="8"/>
  <c r="H616" i="8"/>
  <c r="H76" i="8"/>
  <c r="G695" i="8"/>
  <c r="G779" i="8"/>
  <c r="H559" i="8"/>
  <c r="H541" i="8"/>
  <c r="J871" i="8"/>
  <c r="G399" i="8"/>
  <c r="H833" i="8"/>
  <c r="J598" i="8"/>
  <c r="J287" i="8"/>
  <c r="J873" i="8"/>
  <c r="I7" i="8"/>
  <c r="I437" i="8"/>
  <c r="J228" i="8"/>
  <c r="G785" i="8"/>
  <c r="I31" i="8"/>
  <c r="H217" i="8"/>
  <c r="G723" i="8"/>
  <c r="G265" i="8"/>
  <c r="J776" i="8"/>
  <c r="I70" i="8"/>
  <c r="H367" i="8"/>
  <c r="G371" i="8"/>
  <c r="I693" i="8"/>
  <c r="H595" i="8"/>
  <c r="H177" i="8"/>
  <c r="I538" i="8"/>
  <c r="H222" i="8"/>
  <c r="H893" i="8"/>
  <c r="I539" i="8"/>
  <c r="H188" i="8"/>
  <c r="H136" i="8"/>
  <c r="J204" i="8"/>
  <c r="H163" i="8"/>
  <c r="G99" i="8"/>
  <c r="I766" i="8"/>
  <c r="I910" i="8"/>
  <c r="I874" i="8"/>
  <c r="I472" i="8"/>
  <c r="G595" i="8"/>
  <c r="J22" i="8"/>
  <c r="I86" i="8"/>
  <c r="I258" i="8"/>
  <c r="G258" i="8"/>
  <c r="I756" i="8"/>
  <c r="J538" i="8"/>
  <c r="H918" i="8"/>
  <c r="I246" i="8"/>
  <c r="I151" i="8"/>
  <c r="H806" i="8"/>
  <c r="J942" i="8"/>
  <c r="G454" i="8"/>
  <c r="J164" i="8"/>
  <c r="G855" i="8"/>
  <c r="H707" i="8"/>
  <c r="J6" i="8"/>
  <c r="I759" i="8"/>
  <c r="J747" i="8"/>
  <c r="H546" i="8"/>
  <c r="H949" i="8"/>
  <c r="G345" i="8"/>
  <c r="H479" i="8"/>
  <c r="I749" i="8"/>
  <c r="I864" i="8"/>
  <c r="G87" i="8"/>
  <c r="J918" i="8"/>
  <c r="J406" i="8"/>
  <c r="I219" i="8"/>
  <c r="H59" i="8"/>
  <c r="G517" i="8"/>
  <c r="H318" i="8"/>
  <c r="J916" i="8"/>
  <c r="G151" i="8"/>
  <c r="H804" i="8"/>
  <c r="J991" i="8"/>
  <c r="I626" i="8"/>
  <c r="G460" i="8"/>
  <c r="J186" i="8"/>
  <c r="I535" i="8"/>
  <c r="H648" i="8"/>
  <c r="H117" i="8"/>
  <c r="I731" i="8"/>
  <c r="I110" i="8"/>
  <c r="G15" i="8"/>
  <c r="J892" i="8"/>
  <c r="J390" i="8"/>
  <c r="G573" i="8"/>
  <c r="H6" i="8"/>
  <c r="H795" i="8"/>
  <c r="G899" i="8"/>
  <c r="H705" i="8"/>
  <c r="G148" i="8"/>
  <c r="I494" i="8"/>
  <c r="J897" i="8"/>
  <c r="G759" i="8"/>
  <c r="I44" i="8"/>
  <c r="H907" i="8"/>
  <c r="I440" i="8"/>
  <c r="G749" i="8"/>
  <c r="J236" i="8"/>
  <c r="J815" i="8"/>
  <c r="H765" i="8"/>
  <c r="I190" i="8"/>
  <c r="I177" i="8"/>
  <c r="I694" i="8"/>
  <c r="H809" i="8"/>
  <c r="H737" i="8"/>
  <c r="I596" i="8"/>
  <c r="G864" i="8"/>
  <c r="H517" i="8"/>
  <c r="H151" i="8"/>
  <c r="J626" i="8"/>
  <c r="H460" i="8"/>
  <c r="G648" i="8"/>
  <c r="I15" i="8"/>
  <c r="I892" i="8"/>
  <c r="G6" i="8"/>
  <c r="J899" i="8"/>
  <c r="H44" i="8"/>
  <c r="G907" i="8"/>
  <c r="I236" i="8"/>
  <c r="H815" i="8"/>
  <c r="H72" i="8"/>
  <c r="J758" i="8"/>
  <c r="J946" i="8"/>
  <c r="H983" i="8"/>
  <c r="H316" i="8"/>
  <c r="I703" i="8"/>
  <c r="H49" i="8"/>
  <c r="J440" i="8"/>
  <c r="H141" i="8"/>
  <c r="G918" i="8"/>
  <c r="G833" i="8"/>
  <c r="J286" i="8"/>
  <c r="G890" i="8"/>
  <c r="I893" i="8"/>
  <c r="H338" i="8"/>
  <c r="J804" i="8"/>
  <c r="I785" i="8"/>
  <c r="G731" i="8"/>
  <c r="J320" i="8"/>
  <c r="H270" i="8"/>
  <c r="G547" i="8"/>
  <c r="J308" i="8"/>
  <c r="G235" i="8"/>
  <c r="I924" i="8"/>
  <c r="G897" i="8"/>
  <c r="H823" i="8"/>
  <c r="G593" i="8"/>
  <c r="J631" i="8"/>
  <c r="G108" i="8"/>
  <c r="H201" i="8"/>
  <c r="I193" i="8"/>
  <c r="J348" i="8"/>
  <c r="J159" i="8"/>
  <c r="G621" i="8"/>
  <c r="I664" i="8"/>
  <c r="I894" i="8"/>
  <c r="J840" i="8"/>
  <c r="G521" i="8"/>
  <c r="I390" i="8"/>
  <c r="G902" i="8"/>
  <c r="G322" i="8"/>
  <c r="I450" i="8"/>
  <c r="J379" i="8"/>
  <c r="J625" i="8"/>
  <c r="J862" i="8"/>
  <c r="I702" i="8"/>
  <c r="G438" i="8"/>
  <c r="I833" i="8"/>
  <c r="J23" i="8"/>
  <c r="I581" i="8"/>
  <c r="I371" i="8"/>
  <c r="H278" i="8"/>
  <c r="J91" i="8"/>
  <c r="G246" i="8"/>
  <c r="G155" i="8"/>
  <c r="I788" i="8"/>
  <c r="H242" i="8"/>
  <c r="G804" i="8"/>
  <c r="J653" i="8"/>
  <c r="I36" i="8"/>
  <c r="G164" i="8"/>
  <c r="G693" i="8"/>
  <c r="J748" i="8"/>
  <c r="I667" i="8"/>
  <c r="I365" i="8"/>
  <c r="I195" i="8"/>
  <c r="G260" i="8"/>
  <c r="G213" i="8"/>
  <c r="J312" i="8"/>
  <c r="I128" i="8"/>
  <c r="I32" i="8"/>
  <c r="I723" i="8"/>
  <c r="H252" i="8"/>
  <c r="H84" i="8"/>
  <c r="H265" i="8"/>
  <c r="H424" i="8"/>
  <c r="J932" i="8"/>
  <c r="I831" i="8"/>
  <c r="G244" i="8"/>
  <c r="I689" i="8"/>
  <c r="G476" i="8"/>
  <c r="H209" i="8"/>
  <c r="G541" i="8"/>
  <c r="G156" i="8"/>
  <c r="H171" i="8"/>
  <c r="G764" i="8"/>
  <c r="H853" i="8"/>
  <c r="H184" i="8"/>
  <c r="G231" i="8"/>
  <c r="G406" i="8"/>
  <c r="J71" i="8"/>
  <c r="J414" i="8"/>
  <c r="H756" i="8"/>
  <c r="G608" i="8"/>
  <c r="H986" i="8"/>
  <c r="G407" i="8"/>
  <c r="G23" i="8"/>
  <c r="H371" i="8"/>
  <c r="J278" i="8"/>
  <c r="J246" i="8"/>
  <c r="G788" i="8"/>
  <c r="G36" i="8"/>
  <c r="J693" i="8"/>
  <c r="I252" i="8"/>
  <c r="H678" i="8"/>
  <c r="H851" i="8"/>
  <c r="G526" i="8"/>
  <c r="H308" i="8"/>
  <c r="I523" i="8"/>
  <c r="H831" i="8"/>
  <c r="J639" i="8"/>
  <c r="H368" i="8"/>
  <c r="J241" i="8"/>
  <c r="G166" i="8"/>
  <c r="J606" i="8"/>
  <c r="G774" i="8"/>
  <c r="I276" i="8"/>
  <c r="I963" i="8"/>
  <c r="G1001" i="8"/>
  <c r="H494" i="8"/>
  <c r="G679" i="8"/>
  <c r="I157" i="8"/>
  <c r="I606" i="8"/>
  <c r="G411" i="8"/>
  <c r="I407" i="8"/>
  <c r="G894" i="8"/>
  <c r="J969" i="8"/>
  <c r="H830" i="8"/>
  <c r="G311" i="8"/>
  <c r="I217" i="8"/>
  <c r="G944" i="8"/>
  <c r="G618" i="8"/>
  <c r="H175" i="8"/>
  <c r="G949" i="8"/>
  <c r="H774" i="8"/>
  <c r="J855" i="8"/>
  <c r="H540" i="8"/>
  <c r="G829" i="8"/>
  <c r="G316" i="8"/>
  <c r="H339" i="8"/>
  <c r="I74" i="8"/>
  <c r="G390" i="8"/>
  <c r="G276" i="8"/>
  <c r="G369" i="8"/>
  <c r="I479" i="8"/>
  <c r="I932" i="8"/>
  <c r="G494" i="8"/>
  <c r="H617" i="8"/>
  <c r="J493" i="8"/>
  <c r="H193" i="8"/>
  <c r="H257" i="8"/>
  <c r="G317" i="8"/>
  <c r="J268" i="8"/>
  <c r="I898" i="8"/>
  <c r="J418" i="8"/>
  <c r="I480" i="8"/>
  <c r="G564" i="8"/>
  <c r="J594" i="8"/>
  <c r="H594" i="8"/>
  <c r="G686" i="8"/>
  <c r="I686" i="8"/>
  <c r="H54" i="8"/>
  <c r="G54" i="8"/>
  <c r="J54" i="8"/>
  <c r="G429" i="8"/>
  <c r="I429" i="8"/>
  <c r="I132" i="8"/>
  <c r="G132" i="8"/>
  <c r="I53" i="8"/>
  <c r="G53" i="8"/>
  <c r="J518" i="8"/>
  <c r="I518" i="8"/>
  <c r="G518" i="8"/>
  <c r="J930" i="8"/>
  <c r="G290" i="8"/>
  <c r="H945" i="8"/>
  <c r="J542" i="8"/>
  <c r="H978" i="8"/>
  <c r="G282" i="8"/>
  <c r="H948" i="8"/>
  <c r="I800" i="8"/>
  <c r="H564" i="8"/>
  <c r="J222" i="8"/>
  <c r="I222" i="8"/>
  <c r="H274" i="8"/>
  <c r="I314" i="8"/>
  <c r="G594" i="8"/>
  <c r="J183" i="8"/>
  <c r="I586" i="8"/>
  <c r="G586" i="8"/>
  <c r="I54" i="8"/>
  <c r="G654" i="8"/>
  <c r="J654" i="8"/>
  <c r="I654" i="8"/>
  <c r="G19" i="8"/>
  <c r="J19" i="8"/>
  <c r="H19" i="8"/>
  <c r="I19" i="8"/>
  <c r="J974" i="8"/>
  <c r="H974" i="8"/>
  <c r="G313" i="8"/>
  <c r="J313" i="8"/>
  <c r="I313" i="8"/>
  <c r="H313" i="8"/>
  <c r="I430" i="8"/>
  <c r="G143" i="8"/>
  <c r="H143" i="8"/>
  <c r="H132" i="8"/>
  <c r="J636" i="8"/>
  <c r="H636" i="8"/>
  <c r="G587" i="8"/>
  <c r="H587" i="8"/>
  <c r="J587" i="8"/>
  <c r="J793" i="8"/>
  <c r="I793" i="8"/>
  <c r="G880" i="8"/>
  <c r="J880" i="8"/>
  <c r="I138" i="8"/>
  <c r="H138" i="8"/>
  <c r="I558" i="8"/>
  <c r="H558" i="8"/>
  <c r="I842" i="8"/>
  <c r="G842" i="8"/>
  <c r="J842" i="8"/>
  <c r="J744" i="8"/>
  <c r="I744" i="8"/>
  <c r="I857" i="8"/>
  <c r="J857" i="8"/>
  <c r="I500" i="8"/>
  <c r="G500" i="8"/>
  <c r="H500" i="8"/>
  <c r="I262" i="8"/>
  <c r="J262" i="8"/>
  <c r="H262" i="8"/>
  <c r="I599" i="8"/>
  <c r="J599" i="8"/>
  <c r="G599" i="8"/>
  <c r="H599" i="8"/>
  <c r="I640" i="8"/>
  <c r="H640" i="8"/>
  <c r="I628" i="8"/>
  <c r="G628" i="8"/>
  <c r="I290" i="8"/>
  <c r="G606" i="8"/>
  <c r="H781" i="8"/>
  <c r="G367" i="8"/>
  <c r="G542" i="8"/>
  <c r="G986" i="8"/>
  <c r="H282" i="8"/>
  <c r="J948" i="8"/>
  <c r="G640" i="8"/>
  <c r="J628" i="8"/>
  <c r="J370" i="8"/>
  <c r="I597" i="8"/>
  <c r="H234" i="8"/>
  <c r="J234" i="8"/>
  <c r="G138" i="8"/>
  <c r="J427" i="8"/>
  <c r="H427" i="8"/>
  <c r="I841" i="8"/>
  <c r="G841" i="8"/>
  <c r="J298" i="8"/>
  <c r="I298" i="8"/>
  <c r="G700" i="8"/>
  <c r="I700" i="8"/>
  <c r="J970" i="8"/>
  <c r="I970" i="8"/>
  <c r="G970" i="8"/>
  <c r="I66" i="8"/>
  <c r="G66" i="8"/>
  <c r="J66" i="8"/>
  <c r="G995" i="8"/>
  <c r="J995" i="8"/>
  <c r="I995" i="8"/>
  <c r="H744" i="8"/>
  <c r="J791" i="8"/>
  <c r="H791" i="8"/>
  <c r="I791" i="8"/>
  <c r="J728" i="8"/>
  <c r="I728" i="8"/>
  <c r="G546" i="8"/>
  <c r="J864" i="8"/>
  <c r="J251" i="8"/>
  <c r="J756" i="8"/>
  <c r="G351" i="8"/>
  <c r="H123" i="8"/>
  <c r="I542" i="8"/>
  <c r="J858" i="8"/>
  <c r="H231" i="8"/>
  <c r="G694" i="8"/>
  <c r="G154" i="8"/>
  <c r="J282" i="8"/>
  <c r="G948" i="8"/>
  <c r="I87" i="8"/>
  <c r="H672" i="8"/>
  <c r="H894" i="8"/>
  <c r="I382" i="8"/>
  <c r="G762" i="8"/>
  <c r="H33" i="8"/>
  <c r="J640" i="8"/>
  <c r="J215" i="8"/>
  <c r="H470" i="8"/>
  <c r="G470" i="8"/>
  <c r="G533" i="8"/>
  <c r="J533" i="8"/>
  <c r="I234" i="8"/>
  <c r="I980" i="8"/>
  <c r="G980" i="8"/>
  <c r="H980" i="8"/>
  <c r="J980" i="8"/>
  <c r="H929" i="8"/>
  <c r="G929" i="8"/>
  <c r="G298" i="8"/>
  <c r="G633" i="8"/>
  <c r="J633" i="8"/>
  <c r="G565" i="8"/>
  <c r="H970" i="8"/>
  <c r="H96" i="8"/>
  <c r="J985" i="8"/>
  <c r="I985" i="8"/>
  <c r="G985" i="8"/>
  <c r="H985" i="8"/>
  <c r="J898" i="8"/>
  <c r="G954" i="8"/>
  <c r="G418" i="8"/>
  <c r="J578" i="8"/>
  <c r="J480" i="8"/>
  <c r="J564" i="8"/>
  <c r="H826" i="8"/>
  <c r="G826" i="8"/>
  <c r="J342" i="8"/>
  <c r="I342" i="8"/>
  <c r="I806" i="8"/>
  <c r="G806" i="8"/>
  <c r="J239" i="8"/>
  <c r="G239" i="8"/>
  <c r="G186" i="8"/>
  <c r="H186" i="8"/>
  <c r="G335" i="8"/>
  <c r="H335" i="8"/>
  <c r="G100" i="8"/>
  <c r="J182" i="8"/>
  <c r="G182" i="8"/>
  <c r="I182" i="8"/>
  <c r="I859" i="8"/>
  <c r="G859" i="8"/>
  <c r="J859" i="8"/>
  <c r="J820" i="8"/>
  <c r="I820" i="8"/>
  <c r="G752" i="8"/>
  <c r="H752" i="8"/>
  <c r="I111" i="8"/>
  <c r="J111" i="8"/>
  <c r="I665" i="8"/>
  <c r="H665" i="8"/>
  <c r="J68" i="8"/>
  <c r="H68" i="8"/>
  <c r="J784" i="8"/>
  <c r="I784" i="8"/>
  <c r="H784" i="8"/>
  <c r="I458" i="8"/>
  <c r="G458" i="8"/>
  <c r="I787" i="8"/>
  <c r="J787" i="8"/>
  <c r="H153" i="8"/>
  <c r="I153" i="8"/>
  <c r="J153" i="8"/>
  <c r="J796" i="8"/>
  <c r="H796" i="8"/>
  <c r="G796" i="8"/>
  <c r="J923" i="8"/>
  <c r="G923" i="8"/>
  <c r="G158" i="8"/>
  <c r="H158" i="8"/>
  <c r="G936" i="8"/>
  <c r="I936" i="8"/>
  <c r="J936" i="8"/>
  <c r="H936" i="8"/>
  <c r="G10" i="8"/>
  <c r="J704" i="8"/>
  <c r="H722" i="8"/>
  <c r="G898" i="8"/>
  <c r="H670" i="8"/>
  <c r="J954" i="8"/>
  <c r="I418" i="8"/>
  <c r="G578" i="8"/>
  <c r="J694" i="8"/>
  <c r="I726" i="8"/>
  <c r="J87" i="8"/>
  <c r="G800" i="8"/>
  <c r="G480" i="8"/>
  <c r="H837" i="8"/>
  <c r="H734" i="8"/>
  <c r="G215" i="8"/>
  <c r="H820" i="8"/>
  <c r="H314" i="8"/>
  <c r="H342" i="8"/>
  <c r="I594" i="8"/>
  <c r="I395" i="8"/>
  <c r="J395" i="8"/>
  <c r="I873" i="8"/>
  <c r="H873" i="8"/>
  <c r="G912" i="8"/>
  <c r="H912" i="8"/>
  <c r="J569" i="8"/>
  <c r="I569" i="8"/>
  <c r="H754" i="8"/>
  <c r="G754" i="8"/>
  <c r="I752" i="8"/>
  <c r="G111" i="8"/>
  <c r="G419" i="8"/>
  <c r="I419" i="8"/>
  <c r="I68" i="8"/>
  <c r="G784" i="8"/>
  <c r="G787" i="8"/>
  <c r="J637" i="8"/>
  <c r="I637" i="8"/>
  <c r="G637" i="8"/>
  <c r="G153" i="8"/>
  <c r="I796" i="8"/>
  <c r="G550" i="8"/>
  <c r="I550" i="8"/>
  <c r="H550" i="8"/>
  <c r="J422" i="8"/>
  <c r="I422" i="8"/>
  <c r="G124" i="8"/>
  <c r="I124" i="8"/>
  <c r="H124" i="8"/>
  <c r="J788" i="8"/>
  <c r="J437" i="8"/>
  <c r="I490" i="8"/>
  <c r="I653" i="8"/>
  <c r="H944" i="8"/>
  <c r="G874" i="8"/>
  <c r="I175" i="8"/>
  <c r="I648" i="8"/>
  <c r="J774" i="8"/>
  <c r="I522" i="8"/>
  <c r="G281" i="8"/>
  <c r="G139" i="8"/>
  <c r="I659" i="8"/>
  <c r="G797" i="8"/>
  <c r="H64" i="8"/>
  <c r="J997" i="8"/>
  <c r="J799" i="8"/>
  <c r="G181" i="8"/>
  <c r="J160" i="8"/>
  <c r="G32" i="8"/>
  <c r="G892" i="8"/>
  <c r="J270" i="8"/>
  <c r="I828" i="8"/>
  <c r="I719" i="8"/>
  <c r="G813" i="8"/>
  <c r="I344" i="8"/>
  <c r="G20" i="8"/>
  <c r="I376" i="8"/>
  <c r="I369" i="8"/>
  <c r="J740" i="8"/>
  <c r="J220" i="8"/>
  <c r="G780" i="8"/>
  <c r="I620" i="8"/>
  <c r="G996" i="8"/>
  <c r="H401" i="8"/>
  <c r="I188" i="8"/>
  <c r="H934" i="8"/>
  <c r="J973" i="8"/>
  <c r="J824" i="8"/>
  <c r="G48" i="8"/>
  <c r="J76" i="8"/>
  <c r="J823" i="8"/>
  <c r="H679" i="8"/>
  <c r="J853" i="8"/>
  <c r="H108" i="8"/>
  <c r="H45" i="8"/>
  <c r="I184" i="8"/>
  <c r="J296" i="8"/>
  <c r="J444" i="8"/>
  <c r="I4" i="8"/>
  <c r="H299" i="8"/>
  <c r="I281" i="8"/>
  <c r="G983" i="8"/>
  <c r="I799" i="8"/>
  <c r="J181" i="8"/>
  <c r="J521" i="8"/>
  <c r="I270" i="8"/>
  <c r="G719" i="8"/>
  <c r="H74" i="8"/>
  <c r="J813" i="8"/>
  <c r="H344" i="8"/>
  <c r="J376" i="8"/>
  <c r="I740" i="8"/>
  <c r="J620" i="8"/>
  <c r="I996" i="8"/>
  <c r="G401" i="8"/>
  <c r="G705" i="8"/>
  <c r="J48" i="8"/>
  <c r="J171" i="8"/>
  <c r="G76" i="8"/>
  <c r="H65" i="8"/>
  <c r="G491" i="8"/>
  <c r="J112" i="8"/>
  <c r="J503" i="8"/>
  <c r="H691" i="8"/>
  <c r="G291" i="8"/>
  <c r="H420" i="8"/>
  <c r="J683" i="8"/>
  <c r="G507" i="8"/>
  <c r="J851" i="8"/>
  <c r="G107" i="8"/>
  <c r="H520" i="8"/>
  <c r="H101" i="8"/>
  <c r="J423" i="8"/>
  <c r="G823" i="8"/>
  <c r="I491" i="8"/>
  <c r="G112" i="8"/>
  <c r="G503" i="8"/>
  <c r="H161" i="8"/>
  <c r="I204" i="8"/>
  <c r="I593" i="8"/>
  <c r="J691" i="8"/>
  <c r="I393" i="8"/>
  <c r="J779" i="8"/>
  <c r="G853" i="8"/>
  <c r="I617" i="8"/>
  <c r="I108" i="8"/>
  <c r="H971" i="8"/>
  <c r="G120" i="8"/>
  <c r="H291" i="8"/>
  <c r="G420" i="8"/>
  <c r="I99" i="8"/>
  <c r="J184" i="8"/>
  <c r="J248" i="8"/>
  <c r="H190" i="8"/>
  <c r="J97" i="8"/>
  <c r="G715" i="8"/>
  <c r="G391" i="8"/>
  <c r="I241" i="8"/>
  <c r="J983" i="8"/>
  <c r="G74" i="8"/>
  <c r="I277" i="8"/>
  <c r="I851" i="8"/>
  <c r="J191" i="8"/>
  <c r="J836" i="8"/>
  <c r="I899" i="8"/>
  <c r="J107" i="8"/>
  <c r="I953" i="8"/>
  <c r="I705" i="8"/>
  <c r="G824" i="8"/>
  <c r="H325" i="8"/>
  <c r="I171" i="8"/>
  <c r="J69" i="8"/>
  <c r="J556" i="8"/>
  <c r="J951" i="8"/>
  <c r="G227" i="8"/>
  <c r="G423" i="8"/>
  <c r="H491" i="8"/>
  <c r="I112" i="8"/>
  <c r="G687" i="8"/>
  <c r="G384" i="8"/>
  <c r="J35" i="8"/>
  <c r="H715" i="8"/>
  <c r="G4" i="8"/>
  <c r="J522" i="8"/>
  <c r="H281" i="8"/>
  <c r="J64" i="8"/>
  <c r="I160" i="8"/>
  <c r="I813" i="8"/>
  <c r="J344" i="8"/>
  <c r="G376" i="8"/>
  <c r="H740" i="8"/>
  <c r="J996" i="8"/>
  <c r="J401" i="8"/>
  <c r="I331" i="8"/>
  <c r="H836" i="8"/>
  <c r="H771" i="8"/>
  <c r="I824" i="8"/>
  <c r="H48" i="8"/>
  <c r="I325" i="8"/>
  <c r="J831" i="8"/>
  <c r="J208" i="8"/>
  <c r="I951" i="8"/>
  <c r="G515" i="8"/>
  <c r="G968" i="8"/>
  <c r="J272" i="8"/>
  <c r="I763" i="8"/>
  <c r="I142" i="8"/>
  <c r="J157" i="8"/>
  <c r="J593" i="8"/>
  <c r="H687" i="8"/>
  <c r="J61" i="8"/>
  <c r="J384" i="8"/>
  <c r="H12" i="8"/>
  <c r="G552" i="8"/>
  <c r="G45" i="8"/>
  <c r="J328" i="8"/>
  <c r="G875" i="8"/>
  <c r="I861" i="8"/>
  <c r="I35" i="8"/>
  <c r="I126" i="8"/>
  <c r="J99" i="8"/>
  <c r="G264" i="8"/>
  <c r="H86" i="8"/>
  <c r="J883" i="8"/>
  <c r="G385" i="8"/>
  <c r="J612" i="8"/>
  <c r="G871" i="8"/>
  <c r="H4" i="8"/>
  <c r="I687" i="8"/>
  <c r="I61" i="8"/>
  <c r="H384" i="8"/>
  <c r="J24" i="8"/>
  <c r="G200" i="8"/>
  <c r="G604" i="8"/>
  <c r="J45" i="8"/>
  <c r="I253" i="8"/>
  <c r="G22" i="8"/>
  <c r="H747" i="8"/>
  <c r="J104" i="8"/>
  <c r="H861" i="8"/>
  <c r="I159" i="8"/>
  <c r="I41" i="8"/>
  <c r="I73" i="8"/>
  <c r="I296" i="8"/>
  <c r="I483" i="8"/>
  <c r="I385" i="8"/>
  <c r="H268" i="8"/>
  <c r="I444" i="8"/>
  <c r="G299" i="8"/>
  <c r="H306" i="8"/>
  <c r="J306" i="8"/>
  <c r="G994" i="8"/>
  <c r="H994" i="8"/>
  <c r="J994" i="8"/>
  <c r="J544" i="8"/>
  <c r="H544" i="8"/>
  <c r="I544" i="8"/>
  <c r="I122" i="8"/>
  <c r="G122" i="8"/>
  <c r="I834" i="8"/>
  <c r="H768" i="8"/>
  <c r="I625" i="8"/>
  <c r="I945" i="8"/>
  <c r="I926" i="8"/>
  <c r="J922" i="8"/>
  <c r="J374" i="8"/>
  <c r="I210" i="8"/>
  <c r="G210" i="8"/>
  <c r="H18" i="8"/>
  <c r="G162" i="8"/>
  <c r="J162" i="8"/>
  <c r="I386" i="8"/>
  <c r="H677" i="8"/>
  <c r="I677" i="8"/>
  <c r="I978" i="8"/>
  <c r="G978" i="8"/>
  <c r="I986" i="8"/>
  <c r="I286" i="8"/>
  <c r="J537" i="8"/>
  <c r="G537" i="8"/>
  <c r="G306" i="8"/>
  <c r="H254" i="8"/>
  <c r="I254" i="8"/>
  <c r="G990" i="8"/>
  <c r="H990" i="8"/>
  <c r="J914" i="8"/>
  <c r="I914" i="8"/>
  <c r="G544" i="8"/>
  <c r="I224" i="8"/>
  <c r="G224" i="8"/>
  <c r="J224" i="8"/>
  <c r="I250" i="8"/>
  <c r="J250" i="8"/>
  <c r="J834" i="8"/>
  <c r="I930" i="8"/>
  <c r="I10" i="8"/>
  <c r="H962" i="8"/>
  <c r="I706" i="8"/>
  <c r="G685" i="8"/>
  <c r="G625" i="8"/>
  <c r="G945" i="8"/>
  <c r="H926" i="8"/>
  <c r="I922" i="8"/>
  <c r="G403" i="8"/>
  <c r="H374" i="8"/>
  <c r="H210" i="8"/>
  <c r="J18" i="8"/>
  <c r="J367" i="8"/>
  <c r="G386" i="8"/>
  <c r="J677" i="8"/>
  <c r="I798" i="8"/>
  <c r="I578" i="8"/>
  <c r="G286" i="8"/>
  <c r="H537" i="8"/>
  <c r="H601" i="8"/>
  <c r="G734" i="8"/>
  <c r="J734" i="8"/>
  <c r="I730" i="8"/>
  <c r="J730" i="8"/>
  <c r="I758" i="8"/>
  <c r="G758" i="8"/>
  <c r="H638" i="8"/>
  <c r="I638" i="8"/>
  <c r="H118" i="8"/>
  <c r="G118" i="8"/>
  <c r="G98" i="8"/>
  <c r="J98" i="8"/>
  <c r="I549" i="8"/>
  <c r="J666" i="8"/>
  <c r="J926" i="8"/>
  <c r="H886" i="8"/>
  <c r="J187" i="8"/>
  <c r="G738" i="8"/>
  <c r="I466" i="8"/>
  <c r="G466" i="8"/>
  <c r="J402" i="8"/>
  <c r="I402" i="8"/>
  <c r="G375" i="8"/>
  <c r="H375" i="8"/>
  <c r="I363" i="8"/>
  <c r="H363" i="8"/>
  <c r="G363" i="8"/>
  <c r="G802" i="8"/>
  <c r="J962" i="8"/>
  <c r="G798" i="8"/>
  <c r="H630" i="8"/>
  <c r="G630" i="8"/>
  <c r="I630" i="8"/>
  <c r="H354" i="8"/>
  <c r="G354" i="8"/>
  <c r="H576" i="8"/>
  <c r="G576" i="8"/>
  <c r="J466" i="8"/>
  <c r="I601" i="8"/>
  <c r="H402" i="8"/>
  <c r="H581" i="8"/>
  <c r="J581" i="8"/>
  <c r="J375" i="8"/>
  <c r="I570" i="8"/>
  <c r="J570" i="8"/>
  <c r="G790" i="8"/>
  <c r="J790" i="8"/>
  <c r="H219" i="8"/>
  <c r="J219" i="8"/>
  <c r="J363" i="8"/>
  <c r="J850" i="8"/>
  <c r="H850" i="8"/>
  <c r="I850" i="8"/>
  <c r="G850" i="8"/>
  <c r="I982" i="8"/>
  <c r="J982" i="8"/>
  <c r="G982" i="8"/>
  <c r="H982" i="8"/>
  <c r="H656" i="8"/>
  <c r="J656" i="8"/>
  <c r="G656" i="8"/>
  <c r="G324" i="8"/>
  <c r="H324" i="8"/>
  <c r="J324" i="8"/>
  <c r="I324" i="8"/>
  <c r="I931" i="8"/>
  <c r="J931" i="8"/>
  <c r="G14" i="8"/>
  <c r="J14" i="8"/>
  <c r="H14" i="8"/>
  <c r="I14" i="8"/>
  <c r="I650" i="8"/>
  <c r="H650" i="8"/>
  <c r="J650" i="8"/>
  <c r="G650" i="8"/>
  <c r="I671" i="8"/>
  <c r="G671" i="8"/>
  <c r="J671" i="8"/>
  <c r="H671" i="8"/>
  <c r="H834" i="8"/>
  <c r="G832" i="8"/>
  <c r="J685" i="8"/>
  <c r="J290" i="8"/>
  <c r="I962" i="8"/>
  <c r="G610" i="8"/>
  <c r="J886" i="8"/>
  <c r="G187" i="8"/>
  <c r="I781" i="8"/>
  <c r="J738" i="8"/>
  <c r="H798" i="8"/>
  <c r="J630" i="8"/>
  <c r="I354" i="8"/>
  <c r="J389" i="8"/>
  <c r="I411" i="8"/>
  <c r="J576" i="8"/>
  <c r="J601" i="8"/>
  <c r="J82" i="8"/>
  <c r="G82" i="8"/>
  <c r="I375" i="8"/>
  <c r="J343" i="8"/>
  <c r="I343" i="8"/>
  <c r="G218" i="8"/>
  <c r="H218" i="8"/>
  <c r="H435" i="8"/>
  <c r="G435" i="8"/>
  <c r="I435" i="8"/>
  <c r="I396" i="8"/>
  <c r="G396" i="8"/>
  <c r="H396" i="8"/>
  <c r="H814" i="8"/>
  <c r="I814" i="8"/>
  <c r="H685" i="8"/>
  <c r="J549" i="8"/>
  <c r="H322" i="8"/>
  <c r="G770" i="8"/>
  <c r="G450" i="8"/>
  <c r="J410" i="8"/>
  <c r="G549" i="8"/>
  <c r="H753" i="8"/>
  <c r="H702" i="8"/>
  <c r="J106" i="8"/>
  <c r="G251" i="8"/>
  <c r="G886" i="8"/>
  <c r="I187" i="8"/>
  <c r="G781" i="8"/>
  <c r="I566" i="8"/>
  <c r="I738" i="8"/>
  <c r="G642" i="8"/>
  <c r="I954" i="8"/>
  <c r="G389" i="8"/>
  <c r="H411" i="8"/>
  <c r="J377" i="8"/>
  <c r="I377" i="8"/>
  <c r="I82" i="8"/>
  <c r="G378" i="8"/>
  <c r="H378" i="8"/>
  <c r="I378" i="8"/>
  <c r="J218" i="8"/>
  <c r="J854" i="8"/>
  <c r="G854" i="8"/>
  <c r="I854" i="8"/>
  <c r="H854" i="8"/>
  <c r="H469" i="8"/>
  <c r="J469" i="8"/>
  <c r="G469" i="8"/>
  <c r="H844" i="8"/>
  <c r="J844" i="8"/>
  <c r="G844" i="8"/>
  <c r="I844" i="8"/>
  <c r="J768" i="8"/>
  <c r="G922" i="8"/>
  <c r="G18" i="8"/>
  <c r="G214" i="8"/>
  <c r="J214" i="8"/>
  <c r="H327" i="8"/>
  <c r="I327" i="8"/>
  <c r="J386" i="8"/>
  <c r="I485" i="8"/>
  <c r="G485" i="8"/>
  <c r="H485" i="8"/>
  <c r="H98" i="8"/>
  <c r="J453" i="8"/>
  <c r="H453" i="8"/>
  <c r="H382" i="8"/>
  <c r="G382" i="8"/>
  <c r="H890" i="8"/>
  <c r="I890" i="8"/>
  <c r="J399" i="8"/>
  <c r="H399" i="8"/>
  <c r="H119" i="8"/>
  <c r="J119" i="8"/>
  <c r="I119" i="8"/>
  <c r="I364" i="8"/>
  <c r="G364" i="8"/>
  <c r="G793" i="8"/>
  <c r="H409" i="8"/>
  <c r="H395" i="8"/>
  <c r="J754" i="8"/>
  <c r="I242" i="8"/>
  <c r="I880" i="8"/>
  <c r="I495" i="8"/>
  <c r="G942" i="8"/>
  <c r="G426" i="8"/>
  <c r="J383" i="8"/>
  <c r="G217" i="8"/>
  <c r="I782" i="8"/>
  <c r="J752" i="8"/>
  <c r="H585" i="8"/>
  <c r="J615" i="8"/>
  <c r="J817" i="8"/>
  <c r="G688" i="8"/>
  <c r="G665" i="8"/>
  <c r="J618" i="8"/>
  <c r="H529" i="8"/>
  <c r="G68" i="8"/>
  <c r="J458" i="8"/>
  <c r="H458" i="8"/>
  <c r="H429" i="8"/>
  <c r="G821" i="8"/>
  <c r="I821" i="8"/>
  <c r="I100" i="8"/>
  <c r="J100" i="8"/>
  <c r="I952" i="8"/>
  <c r="G952" i="8"/>
  <c r="J952" i="8"/>
  <c r="H952" i="8"/>
  <c r="J727" i="8"/>
  <c r="G727" i="8"/>
  <c r="I727" i="8"/>
  <c r="H727" i="8"/>
  <c r="I409" i="8"/>
  <c r="G242" i="8"/>
  <c r="H942" i="8"/>
  <c r="J665" i="8"/>
  <c r="I436" i="8"/>
  <c r="J436" i="8"/>
  <c r="J79" i="8"/>
  <c r="H79" i="8"/>
  <c r="I5" i="8"/>
  <c r="G5" i="8"/>
  <c r="G645" i="8"/>
  <c r="I645" i="8"/>
  <c r="J645" i="8"/>
  <c r="J551" i="8"/>
  <c r="I551" i="8"/>
  <c r="G551" i="8"/>
  <c r="H192" i="8"/>
  <c r="G192" i="8"/>
  <c r="I231" i="8"/>
  <c r="I672" i="8"/>
  <c r="H42" i="8"/>
  <c r="J274" i="8"/>
  <c r="H793" i="8"/>
  <c r="H628" i="8"/>
  <c r="H183" i="8"/>
  <c r="H846" i="8"/>
  <c r="I754" i="8"/>
  <c r="H437" i="8"/>
  <c r="J560" i="8"/>
  <c r="G441" i="8"/>
  <c r="H495" i="8"/>
  <c r="H653" i="8"/>
  <c r="G910" i="8"/>
  <c r="J426" i="8"/>
  <c r="J701" i="8"/>
  <c r="G383" i="8"/>
  <c r="I75" i="8"/>
  <c r="J782" i="8"/>
  <c r="H239" i="8"/>
  <c r="I585" i="8"/>
  <c r="H615" i="8"/>
  <c r="H817" i="8"/>
  <c r="H688" i="8"/>
  <c r="H718" i="8"/>
  <c r="H874" i="8"/>
  <c r="J419" i="8"/>
  <c r="I529" i="8"/>
  <c r="I633" i="8"/>
  <c r="H633" i="8"/>
  <c r="H938" i="8"/>
  <c r="J938" i="8"/>
  <c r="G436" i="8"/>
  <c r="G430" i="8"/>
  <c r="J430" i="8"/>
  <c r="H330" i="8"/>
  <c r="J330" i="8"/>
  <c r="G79" i="8"/>
  <c r="H821" i="8"/>
  <c r="H551" i="8"/>
  <c r="J993" i="8"/>
  <c r="I993" i="8"/>
  <c r="G993" i="8"/>
  <c r="I117" i="8"/>
  <c r="G117" i="8"/>
  <c r="I335" i="8"/>
  <c r="J335" i="8"/>
  <c r="I735" i="8"/>
  <c r="G735" i="8"/>
  <c r="G560" i="8"/>
  <c r="G495" i="8"/>
  <c r="I426" i="8"/>
  <c r="I383" i="8"/>
  <c r="G585" i="8"/>
  <c r="G817" i="8"/>
  <c r="I688" i="8"/>
  <c r="H436" i="8"/>
  <c r="G356" i="8"/>
  <c r="I356" i="8"/>
  <c r="H644" i="8"/>
  <c r="J644" i="8"/>
  <c r="I882" i="8"/>
  <c r="I846" i="8"/>
  <c r="J816" i="8"/>
  <c r="H441" i="8"/>
  <c r="G956" i="8"/>
  <c r="G701" i="8"/>
  <c r="G75" i="8"/>
  <c r="H554" i="8"/>
  <c r="H185" i="8"/>
  <c r="I974" i="8"/>
  <c r="G718" i="8"/>
  <c r="G362" i="8"/>
  <c r="G175" i="8"/>
  <c r="J17" i="8"/>
  <c r="G904" i="8"/>
  <c r="H904" i="8"/>
  <c r="J143" i="8"/>
  <c r="G477" i="8"/>
  <c r="J477" i="8"/>
  <c r="I477" i="8"/>
  <c r="H477" i="8"/>
  <c r="H245" i="8"/>
  <c r="J245" i="8"/>
  <c r="G33" i="8"/>
  <c r="J421" i="8"/>
  <c r="G314" i="8"/>
  <c r="I90" i="8"/>
  <c r="G884" i="8"/>
  <c r="J882" i="8"/>
  <c r="G395" i="8"/>
  <c r="I912" i="8"/>
  <c r="G846" i="8"/>
  <c r="I147" i="8"/>
  <c r="G55" i="8"/>
  <c r="H816" i="8"/>
  <c r="H880" i="8"/>
  <c r="J138" i="8"/>
  <c r="J441" i="8"/>
  <c r="J956" i="8"/>
  <c r="H332" i="8"/>
  <c r="J718" i="8"/>
  <c r="H362" i="8"/>
  <c r="I565" i="8"/>
  <c r="J565" i="8"/>
  <c r="J750" i="8"/>
  <c r="H750" i="8"/>
  <c r="I750" i="8"/>
  <c r="J429" i="8"/>
  <c r="I428" i="8"/>
  <c r="H428" i="8"/>
  <c r="G360" i="8"/>
  <c r="H360" i="8"/>
  <c r="I249" i="8"/>
  <c r="J249" i="8"/>
  <c r="G249" i="8"/>
  <c r="G467" i="8"/>
  <c r="J467" i="8"/>
  <c r="I467" i="8"/>
  <c r="G900" i="8"/>
  <c r="J900" i="8"/>
  <c r="I900" i="8"/>
  <c r="H741" i="8"/>
  <c r="H459" i="8"/>
  <c r="J459" i="8"/>
  <c r="I856" i="8"/>
  <c r="G856" i="8"/>
  <c r="J856" i="8"/>
  <c r="H454" i="8"/>
  <c r="I454" i="8"/>
  <c r="H667" i="8"/>
  <c r="J667" i="8"/>
  <c r="J425" i="8"/>
  <c r="H425" i="8"/>
  <c r="I425" i="8"/>
  <c r="G425" i="8"/>
  <c r="I309" i="8"/>
  <c r="J309" i="8"/>
  <c r="G309" i="8"/>
  <c r="J607" i="8"/>
  <c r="G607" i="8"/>
  <c r="I607" i="8"/>
  <c r="J527" i="8"/>
  <c r="G527" i="8"/>
  <c r="I527" i="8"/>
  <c r="J1000" i="8"/>
  <c r="H1000" i="8"/>
  <c r="J432" i="8"/>
  <c r="H432" i="8"/>
  <c r="I432" i="8"/>
  <c r="G432" i="8"/>
  <c r="I651" i="8"/>
  <c r="H388" i="8"/>
  <c r="I561" i="8"/>
  <c r="J975" i="8"/>
  <c r="G58" i="8"/>
  <c r="I58" i="8"/>
  <c r="H680" i="8"/>
  <c r="G680" i="8"/>
  <c r="J47" i="8"/>
  <c r="I47" i="8"/>
  <c r="I669" i="8"/>
  <c r="J669" i="8"/>
  <c r="J699" i="8"/>
  <c r="H699" i="8"/>
  <c r="I412" i="8"/>
  <c r="J412" i="8"/>
  <c r="H655" i="8"/>
  <c r="G655" i="8"/>
  <c r="J655" i="8"/>
  <c r="I40" i="8"/>
  <c r="H40" i="8"/>
  <c r="J93" i="8"/>
  <c r="H93" i="8"/>
  <c r="I93" i="8"/>
  <c r="G93" i="8"/>
  <c r="I206" i="8"/>
  <c r="H206" i="8"/>
  <c r="J206" i="8"/>
  <c r="G206" i="8"/>
  <c r="G619" i="8"/>
  <c r="H619" i="8"/>
  <c r="I619" i="8"/>
  <c r="J619" i="8"/>
  <c r="H365" i="8"/>
  <c r="G744" i="8"/>
  <c r="J132" i="8"/>
  <c r="J659" i="8"/>
  <c r="I595" i="8"/>
  <c r="I288" i="8"/>
  <c r="G128" i="8"/>
  <c r="G799" i="8"/>
  <c r="H182" i="8"/>
  <c r="H181" i="8"/>
  <c r="J550" i="8"/>
  <c r="H521" i="8"/>
  <c r="H651" i="8"/>
  <c r="J388" i="8"/>
  <c r="G557" i="8"/>
  <c r="I925" i="8"/>
  <c r="I732" i="8"/>
  <c r="J252" i="8"/>
  <c r="H719" i="8"/>
  <c r="J911" i="8"/>
  <c r="I361" i="8"/>
  <c r="I457" i="8"/>
  <c r="I380" i="8"/>
  <c r="J463" i="8"/>
  <c r="J979" i="8"/>
  <c r="I233" i="8"/>
  <c r="I876" i="8"/>
  <c r="J519" i="8"/>
  <c r="H573" i="8"/>
  <c r="G975" i="8"/>
  <c r="G337" i="8"/>
  <c r="I337" i="8"/>
  <c r="I988" i="8"/>
  <c r="H58" i="8"/>
  <c r="J116" i="8"/>
  <c r="I773" i="8"/>
  <c r="G953" i="8"/>
  <c r="H963" i="8"/>
  <c r="H523" i="8"/>
  <c r="G47" i="8"/>
  <c r="H669" i="8"/>
  <c r="I235" i="8"/>
  <c r="G439" i="8"/>
  <c r="H439" i="8"/>
  <c r="J760" i="8"/>
  <c r="H133" i="8"/>
  <c r="J133" i="8"/>
  <c r="G133" i="8"/>
  <c r="H227" i="8"/>
  <c r="J227" i="8"/>
  <c r="H349" i="8"/>
  <c r="I349" i="8"/>
  <c r="J349" i="8"/>
  <c r="H412" i="8"/>
  <c r="I655" i="8"/>
  <c r="I913" i="8"/>
  <c r="H913" i="8"/>
  <c r="G913" i="8"/>
  <c r="J913" i="8"/>
  <c r="H380" i="8"/>
  <c r="I463" i="8"/>
  <c r="I979" i="8"/>
  <c r="G233" i="8"/>
  <c r="H116" i="8"/>
  <c r="I329" i="8"/>
  <c r="H329" i="8"/>
  <c r="H289" i="8"/>
  <c r="J289" i="8"/>
  <c r="J235" i="8"/>
  <c r="H16" i="8"/>
  <c r="J16" i="8"/>
  <c r="H575" i="8"/>
  <c r="I575" i="8"/>
  <c r="J575" i="8"/>
  <c r="J869" i="8"/>
  <c r="I869" i="8"/>
  <c r="J935" i="8"/>
  <c r="I935" i="8"/>
  <c r="H935" i="8"/>
  <c r="G935" i="8"/>
  <c r="G545" i="8"/>
  <c r="J545" i="8"/>
  <c r="H545" i="8"/>
  <c r="I545" i="8"/>
  <c r="G225" i="8"/>
  <c r="I225" i="8"/>
  <c r="H225" i="8"/>
  <c r="J225" i="8"/>
  <c r="J949" i="8"/>
  <c r="H637" i="8"/>
  <c r="G365" i="8"/>
  <c r="H522" i="8"/>
  <c r="G659" i="8"/>
  <c r="I213" i="8"/>
  <c r="I312" i="8"/>
  <c r="G636" i="8"/>
  <c r="H203" i="8"/>
  <c r="G392" i="8"/>
  <c r="G465" i="8"/>
  <c r="J792" i="8"/>
  <c r="I156" i="8"/>
  <c r="I737" i="8"/>
  <c r="H728" i="8"/>
  <c r="I398" i="8"/>
  <c r="G911" i="8"/>
  <c r="H361" i="8"/>
  <c r="J457" i="8"/>
  <c r="G380" i="8"/>
  <c r="I20" i="8"/>
  <c r="H463" i="8"/>
  <c r="H369" i="8"/>
  <c r="H979" i="8"/>
  <c r="G220" i="8"/>
  <c r="H780" i="8"/>
  <c r="G629" i="8"/>
  <c r="G620" i="8"/>
  <c r="J539" i="8"/>
  <c r="J573" i="8"/>
  <c r="J337" i="8"/>
  <c r="H179" i="8"/>
  <c r="G116" i="8"/>
  <c r="I921" i="8"/>
  <c r="G308" i="8"/>
  <c r="J902" i="8"/>
  <c r="I902" i="8"/>
  <c r="G885" i="8"/>
  <c r="J325" i="8"/>
  <c r="I289" i="8"/>
  <c r="I240" i="8"/>
  <c r="J240" i="8"/>
  <c r="G240" i="8"/>
  <c r="G16" i="8"/>
  <c r="G575" i="8"/>
  <c r="G869" i="8"/>
  <c r="J340" i="8"/>
  <c r="H340" i="8"/>
  <c r="G340" i="8"/>
  <c r="I652" i="8"/>
  <c r="H652" i="8"/>
  <c r="G652" i="8"/>
  <c r="J652" i="8"/>
  <c r="H839" i="8"/>
  <c r="G839" i="8"/>
  <c r="J839" i="8"/>
  <c r="I839" i="8"/>
  <c r="G843" i="8"/>
  <c r="I843" i="8"/>
  <c r="H843" i="8"/>
  <c r="J843" i="8"/>
  <c r="H63" i="8"/>
  <c r="G63" i="8"/>
  <c r="I63" i="8"/>
  <c r="H499" i="8"/>
  <c r="I499" i="8"/>
  <c r="J52" i="8"/>
  <c r="G52" i="8"/>
  <c r="J697" i="8"/>
  <c r="I697" i="8"/>
  <c r="H697" i="8"/>
  <c r="I197" i="8"/>
  <c r="H197" i="8"/>
  <c r="G661" i="8"/>
  <c r="H661" i="8"/>
  <c r="I661" i="8"/>
  <c r="J661" i="8"/>
  <c r="G860" i="8"/>
  <c r="I860" i="8"/>
  <c r="J860" i="8"/>
  <c r="H860" i="8"/>
  <c r="J300" i="8"/>
  <c r="I300" i="8"/>
  <c r="G300" i="8"/>
  <c r="H300" i="8"/>
  <c r="I465" i="8"/>
  <c r="G792" i="8"/>
  <c r="G651" i="8"/>
  <c r="I388" i="8"/>
  <c r="G737" i="8"/>
  <c r="G728" i="8"/>
  <c r="J398" i="8"/>
  <c r="G127" i="8"/>
  <c r="J561" i="8"/>
  <c r="G243" i="8"/>
  <c r="J757" i="8"/>
  <c r="J780" i="8"/>
  <c r="I92" i="8"/>
  <c r="H539" i="8"/>
  <c r="H526" i="8"/>
  <c r="J526" i="8"/>
  <c r="H609" i="8"/>
  <c r="I646" i="8"/>
  <c r="G921" i="8"/>
  <c r="G523" i="8"/>
  <c r="J520" i="8"/>
  <c r="I520" i="8"/>
  <c r="G827" i="8"/>
  <c r="H827" i="8"/>
  <c r="G697" i="8"/>
  <c r="H776" i="8"/>
  <c r="G776" i="8"/>
  <c r="G261" i="8"/>
  <c r="H261" i="8"/>
  <c r="G807" i="8"/>
  <c r="J807" i="8"/>
  <c r="H807" i="8"/>
  <c r="I807" i="8"/>
  <c r="G635" i="8"/>
  <c r="I635" i="8"/>
  <c r="J635" i="8"/>
  <c r="H921" i="8"/>
  <c r="G176" i="8"/>
  <c r="I176" i="8"/>
  <c r="J176" i="8"/>
  <c r="G579" i="8"/>
  <c r="J579" i="8"/>
  <c r="J195" i="8"/>
  <c r="J110" i="8"/>
  <c r="G925" i="8"/>
  <c r="J732" i="8"/>
  <c r="G710" i="8"/>
  <c r="H127" i="8"/>
  <c r="G561" i="8"/>
  <c r="H488" i="8"/>
  <c r="H243" i="8"/>
  <c r="H757" i="8"/>
  <c r="I572" i="8"/>
  <c r="H276" i="8"/>
  <c r="G872" i="8"/>
  <c r="I265" i="8"/>
  <c r="H417" i="8"/>
  <c r="G479" i="8"/>
  <c r="J233" i="8"/>
  <c r="G532" i="8"/>
  <c r="G92" i="8"/>
  <c r="H975" i="8"/>
  <c r="G632" i="8"/>
  <c r="H988" i="8"/>
  <c r="J58" i="8"/>
  <c r="G646" i="8"/>
  <c r="H107" i="8"/>
  <c r="J963" i="8"/>
  <c r="H47" i="8"/>
  <c r="J887" i="8"/>
  <c r="G669" i="8"/>
  <c r="H176" i="8"/>
  <c r="H627" i="8"/>
  <c r="G412" i="8"/>
  <c r="H140" i="8"/>
  <c r="I140" i="8"/>
  <c r="J673" i="8"/>
  <c r="H673" i="8"/>
  <c r="I673" i="8"/>
  <c r="G673" i="8"/>
  <c r="I643" i="8"/>
  <c r="J643" i="8"/>
  <c r="G643" i="8"/>
  <c r="H643" i="8"/>
  <c r="J679" i="8"/>
  <c r="I503" i="8"/>
  <c r="G157" i="8"/>
  <c r="G204" i="8"/>
  <c r="I102" i="8"/>
  <c r="G12" i="8"/>
  <c r="G717" i="8"/>
  <c r="I604" i="8"/>
  <c r="H749" i="8"/>
  <c r="I559" i="8"/>
  <c r="J70" i="8"/>
  <c r="I476" i="8"/>
  <c r="I591" i="8"/>
  <c r="I291" i="8"/>
  <c r="G104" i="8"/>
  <c r="G861" i="8"/>
  <c r="J420" i="8"/>
  <c r="H159" i="8"/>
  <c r="G126" i="8"/>
  <c r="G41" i="8"/>
  <c r="G248" i="8"/>
  <c r="H73" i="8"/>
  <c r="I623" i="8"/>
  <c r="J209" i="8"/>
  <c r="G483" i="8"/>
  <c r="H317" i="8"/>
  <c r="I612" i="8"/>
  <c r="H97" i="8"/>
  <c r="I391" i="8"/>
  <c r="H166" i="8"/>
  <c r="I507" i="8"/>
  <c r="I836" i="8"/>
  <c r="H895" i="8"/>
  <c r="G223" i="8"/>
  <c r="I101" i="8"/>
  <c r="J65" i="8"/>
  <c r="H759" i="8"/>
  <c r="G272" i="8"/>
  <c r="I751" i="8"/>
  <c r="I404" i="8"/>
  <c r="G161" i="8"/>
  <c r="G280" i="8"/>
  <c r="G543" i="8"/>
  <c r="G61" i="8"/>
  <c r="J393" i="8"/>
  <c r="H779" i="8"/>
  <c r="I489" i="8"/>
  <c r="H552" i="8"/>
  <c r="H145" i="8"/>
  <c r="G440" i="8"/>
  <c r="H328" i="8"/>
  <c r="J875" i="8"/>
  <c r="G747" i="8"/>
  <c r="G236" i="8"/>
  <c r="G152" i="8"/>
  <c r="G86" i="8"/>
  <c r="G815" i="8"/>
  <c r="G623" i="8"/>
  <c r="H296" i="8"/>
  <c r="H483" i="8"/>
  <c r="J385" i="8"/>
  <c r="H612" i="8"/>
  <c r="G97" i="8"/>
  <c r="G268" i="8"/>
  <c r="I631" i="8"/>
  <c r="I95" i="8"/>
  <c r="J971" i="8"/>
  <c r="I943" i="8"/>
  <c r="H486" i="8"/>
  <c r="H664" i="8"/>
  <c r="J715" i="8"/>
  <c r="G177" i="8"/>
  <c r="G141" i="8"/>
  <c r="I125" i="8"/>
  <c r="I72" i="8"/>
  <c r="G775" i="8"/>
  <c r="G751" i="8"/>
  <c r="I614" i="8"/>
  <c r="I280" i="8"/>
  <c r="H264" i="8"/>
  <c r="J621" i="8"/>
  <c r="H883" i="8"/>
  <c r="G43" i="8"/>
  <c r="I229" i="8"/>
  <c r="J751" i="8"/>
  <c r="J555" i="8"/>
  <c r="J280" i="8"/>
  <c r="G908" i="8"/>
  <c r="J12" i="8"/>
  <c r="G221" i="8"/>
  <c r="I552" i="8"/>
  <c r="G49" i="8"/>
  <c r="G631" i="8"/>
  <c r="H194" i="8"/>
  <c r="G95" i="8"/>
  <c r="I475" i="8"/>
  <c r="H70" i="8"/>
  <c r="G971" i="8"/>
  <c r="G328" i="8"/>
  <c r="J476" i="8"/>
  <c r="H591" i="8"/>
  <c r="H169" i="8"/>
  <c r="J486" i="8"/>
  <c r="I456" i="8"/>
  <c r="I81" i="8"/>
  <c r="G613" i="8"/>
  <c r="I511" i="8"/>
  <c r="G664" i="8"/>
  <c r="I725" i="8"/>
  <c r="G901" i="8"/>
  <c r="H447" i="8"/>
  <c r="J391" i="8"/>
  <c r="J166" i="8"/>
  <c r="I691" i="8"/>
  <c r="G743" i="8"/>
  <c r="J49" i="8"/>
  <c r="J200" i="8"/>
  <c r="J838" i="8"/>
  <c r="I189" i="8"/>
  <c r="H456" i="8"/>
  <c r="I209" i="8"/>
  <c r="J317" i="8"/>
  <c r="G725" i="8"/>
  <c r="G447" i="8"/>
  <c r="I871" i="8"/>
  <c r="J299" i="8"/>
  <c r="J507" i="8"/>
  <c r="H822" i="8"/>
  <c r="I822" i="8"/>
  <c r="H450" i="8"/>
  <c r="I178" i="8"/>
  <c r="I39" i="8"/>
  <c r="G930" i="8"/>
  <c r="J546" i="8"/>
  <c r="I114" i="8"/>
  <c r="H770" i="8"/>
  <c r="H610" i="8"/>
  <c r="J178" i="8"/>
  <c r="H71" i="8"/>
  <c r="G410" i="8"/>
  <c r="H295" i="8"/>
  <c r="H39" i="8"/>
  <c r="G862" i="8"/>
  <c r="I666" i="8"/>
  <c r="H794" i="8"/>
  <c r="G822" i="8"/>
  <c r="H214" i="8"/>
  <c r="I123" i="8"/>
  <c r="I852" i="8"/>
  <c r="J852" i="8"/>
  <c r="H562" i="8"/>
  <c r="J674" i="8"/>
  <c r="J50" i="8"/>
  <c r="I50" i="8"/>
  <c r="G50" i="8"/>
  <c r="H950" i="8"/>
  <c r="I950" i="8"/>
  <c r="G950" i="8"/>
  <c r="J199" i="8"/>
  <c r="H199" i="8"/>
  <c r="H866" i="8"/>
  <c r="H881" i="8"/>
  <c r="G881" i="8"/>
  <c r="I698" i="8"/>
  <c r="H698" i="8"/>
  <c r="J698" i="8"/>
  <c r="H310" i="8"/>
  <c r="G310" i="8"/>
  <c r="J310" i="8"/>
  <c r="H135" i="8"/>
  <c r="J10" i="8"/>
  <c r="J802" i="8"/>
  <c r="H114" i="8"/>
  <c r="G706" i="8"/>
  <c r="G379" i="8"/>
  <c r="I71" i="8"/>
  <c r="I410" i="8"/>
  <c r="G704" i="8"/>
  <c r="I295" i="8"/>
  <c r="I862" i="8"/>
  <c r="H666" i="8"/>
  <c r="H251" i="8"/>
  <c r="I351" i="8"/>
  <c r="J566" i="8"/>
  <c r="G123" i="8"/>
  <c r="H852" i="8"/>
  <c r="H674" i="8"/>
  <c r="G327" i="8"/>
  <c r="J642" i="8"/>
  <c r="H642" i="8"/>
  <c r="H50" i="8"/>
  <c r="G670" i="8"/>
  <c r="J670" i="8"/>
  <c r="J950" i="8"/>
  <c r="I858" i="8"/>
  <c r="I199" i="8"/>
  <c r="J881" i="8"/>
  <c r="G226" i="8"/>
  <c r="H226" i="8"/>
  <c r="H431" i="8"/>
  <c r="G431" i="8"/>
  <c r="I431" i="8"/>
  <c r="I310" i="8"/>
  <c r="G473" i="8"/>
  <c r="H473" i="8"/>
  <c r="J473" i="8"/>
  <c r="G786" i="8"/>
  <c r="H786" i="8"/>
  <c r="J786" i="8"/>
  <c r="J347" i="8"/>
  <c r="I347" i="8"/>
  <c r="H347" i="8"/>
  <c r="G347" i="8"/>
  <c r="G135" i="8"/>
  <c r="I832" i="8"/>
  <c r="G167" i="8"/>
  <c r="I167" i="8"/>
  <c r="J357" i="8"/>
  <c r="G596" i="8"/>
  <c r="G482" i="8"/>
  <c r="I877" i="8"/>
  <c r="J263" i="8"/>
  <c r="H957" i="8"/>
  <c r="G957" i="8"/>
  <c r="H442" i="8"/>
  <c r="J442" i="8"/>
  <c r="G442" i="8"/>
  <c r="G103" i="8"/>
  <c r="H103" i="8"/>
  <c r="I103" i="8"/>
  <c r="H27" i="8"/>
  <c r="J27" i="8"/>
  <c r="G27" i="8"/>
  <c r="G941" i="8"/>
  <c r="H941" i="8"/>
  <c r="J941" i="8"/>
  <c r="I992" i="8"/>
  <c r="J992" i="8"/>
  <c r="G992" i="8"/>
  <c r="J319" i="8"/>
  <c r="H319" i="8"/>
  <c r="G319" i="8"/>
  <c r="I319" i="8"/>
  <c r="J170" i="8"/>
  <c r="H170" i="8"/>
  <c r="J937" i="8"/>
  <c r="I937" i="8"/>
  <c r="G279" i="8"/>
  <c r="J279" i="8"/>
  <c r="I958" i="8"/>
  <c r="G958" i="8"/>
  <c r="H658" i="8"/>
  <c r="J658" i="8"/>
  <c r="I658" i="8"/>
  <c r="I761" i="8"/>
  <c r="G761" i="8"/>
  <c r="H761" i="8"/>
  <c r="H574" i="8"/>
  <c r="I574" i="8"/>
  <c r="G574" i="8"/>
  <c r="J323" i="8"/>
  <c r="I323" i="8"/>
  <c r="G323" i="8"/>
  <c r="H323" i="8"/>
  <c r="G818" i="8"/>
  <c r="H818" i="8"/>
  <c r="I818" i="8"/>
  <c r="J818" i="8"/>
  <c r="J26" i="8"/>
  <c r="I26" i="8"/>
  <c r="I802" i="8"/>
  <c r="J135" i="8"/>
  <c r="H706" i="8"/>
  <c r="I379" i="8"/>
  <c r="H832" i="8"/>
  <c r="H704" i="8"/>
  <c r="G26" i="8"/>
  <c r="H167" i="8"/>
  <c r="G357" i="8"/>
  <c r="G512" i="8"/>
  <c r="I512" i="8"/>
  <c r="I170" i="8"/>
  <c r="I753" i="8"/>
  <c r="J438" i="8"/>
  <c r="H438" i="8"/>
  <c r="J403" i="8"/>
  <c r="G374" i="8"/>
  <c r="J351" i="8"/>
  <c r="G566" i="8"/>
  <c r="J596" i="8"/>
  <c r="I482" i="8"/>
  <c r="H877" i="8"/>
  <c r="I263" i="8"/>
  <c r="G937" i="8"/>
  <c r="J957" i="8"/>
  <c r="I279" i="8"/>
  <c r="G514" i="8"/>
  <c r="I514" i="8"/>
  <c r="J514" i="8"/>
  <c r="H958" i="8"/>
  <c r="G825" i="8"/>
  <c r="H825" i="8"/>
  <c r="G658" i="8"/>
  <c r="G928" i="8"/>
  <c r="H928" i="8"/>
  <c r="J928" i="8"/>
  <c r="J574" i="8"/>
  <c r="G534" i="8"/>
  <c r="H534" i="8"/>
  <c r="I534" i="8"/>
  <c r="J534" i="8"/>
  <c r="H83" i="8"/>
  <c r="J83" i="8"/>
  <c r="I83" i="8"/>
  <c r="J114" i="8"/>
  <c r="H178" i="8"/>
  <c r="I768" i="8"/>
  <c r="J295" i="8"/>
  <c r="G39" i="8"/>
  <c r="I357" i="8"/>
  <c r="H512" i="8"/>
  <c r="G170" i="8"/>
  <c r="G753" i="8"/>
  <c r="H106" i="8"/>
  <c r="I106" i="8"/>
  <c r="H403" i="8"/>
  <c r="G722" i="8"/>
  <c r="I722" i="8"/>
  <c r="G794" i="8"/>
  <c r="J482" i="8"/>
  <c r="G877" i="8"/>
  <c r="H263" i="8"/>
  <c r="J608" i="8"/>
  <c r="I608" i="8"/>
  <c r="H350" i="8"/>
  <c r="I350" i="8"/>
  <c r="G350" i="8"/>
  <c r="H937" i="8"/>
  <c r="H514" i="8"/>
  <c r="I825" i="8"/>
  <c r="I928" i="8"/>
  <c r="G510" i="8"/>
  <c r="I510" i="8"/>
  <c r="J510" i="8"/>
  <c r="I506" i="8"/>
  <c r="G506" i="8"/>
  <c r="H506" i="8"/>
  <c r="J506" i="8"/>
  <c r="J989" i="8"/>
  <c r="H989" i="8"/>
  <c r="H602" i="8"/>
  <c r="J602" i="8"/>
  <c r="J446" i="8"/>
  <c r="H446" i="8"/>
  <c r="I13" i="8"/>
  <c r="H13" i="8"/>
  <c r="G13" i="8"/>
  <c r="J794" i="8"/>
  <c r="I162" i="8"/>
  <c r="H162" i="8"/>
  <c r="J822" i="8"/>
  <c r="I562" i="8"/>
  <c r="G562" i="8"/>
  <c r="G674" i="8"/>
  <c r="H2" i="8"/>
  <c r="J2" i="8"/>
  <c r="Q8" i="7"/>
  <c r="I2" i="8"/>
  <c r="P8" i="7"/>
  <c r="I989" i="8"/>
  <c r="I602" i="8"/>
  <c r="J866" i="8"/>
  <c r="I866" i="8"/>
  <c r="J3" i="8"/>
  <c r="G3" i="8"/>
  <c r="H3" i="8"/>
  <c r="I960" i="8"/>
  <c r="H960" i="8"/>
  <c r="G960" i="8"/>
  <c r="G446" i="8"/>
  <c r="H346" i="8"/>
  <c r="G346" i="8"/>
  <c r="I346" i="8"/>
  <c r="H292" i="8"/>
  <c r="J292" i="8"/>
  <c r="H720" i="8"/>
  <c r="I720" i="8"/>
  <c r="G528" i="8"/>
  <c r="I528" i="8"/>
  <c r="H207" i="8"/>
  <c r="G207" i="8"/>
  <c r="G582" i="8"/>
  <c r="I582" i="8"/>
  <c r="G381" i="8"/>
  <c r="H381" i="8"/>
  <c r="I803" i="8"/>
  <c r="J803" i="8"/>
  <c r="I878" i="8"/>
  <c r="G878" i="8"/>
  <c r="J536" i="8"/>
  <c r="I536" i="8"/>
  <c r="H536" i="8"/>
  <c r="G536" i="8"/>
  <c r="H46" i="8"/>
  <c r="J46" i="8"/>
  <c r="G46" i="8"/>
  <c r="I115" i="8"/>
  <c r="J115" i="8"/>
  <c r="G115" i="8"/>
  <c r="H115" i="8"/>
  <c r="I915" i="8"/>
  <c r="H915" i="8"/>
  <c r="G915" i="8"/>
  <c r="J915" i="8"/>
  <c r="J38" i="8"/>
  <c r="I38" i="8"/>
  <c r="H38" i="8"/>
  <c r="G38" i="8"/>
  <c r="H389" i="8"/>
  <c r="J407" i="8"/>
  <c r="I154" i="8"/>
  <c r="H466" i="8"/>
  <c r="G726" i="8"/>
  <c r="I306" i="8"/>
  <c r="J692" i="8"/>
  <c r="H82" i="8"/>
  <c r="G453" i="8"/>
  <c r="J672" i="8"/>
  <c r="H766" i="8"/>
  <c r="J254" i="8"/>
  <c r="I762" i="8"/>
  <c r="H570" i="8"/>
  <c r="G250" i="8"/>
  <c r="H790" i="8"/>
  <c r="I598" i="8"/>
  <c r="G278" i="8"/>
  <c r="G91" i="8"/>
  <c r="I969" i="8"/>
  <c r="J33" i="8"/>
  <c r="G530" i="8"/>
  <c r="G837" i="8"/>
  <c r="H421" i="8"/>
  <c r="I994" i="8"/>
  <c r="I478" i="8"/>
  <c r="I990" i="8"/>
  <c r="G730" i="8"/>
  <c r="H287" i="8"/>
  <c r="J502" i="8"/>
  <c r="G315" i="8"/>
  <c r="G59" i="8"/>
  <c r="G914" i="8"/>
  <c r="H657" i="8"/>
  <c r="G638" i="8"/>
  <c r="G42" i="8"/>
  <c r="G274" i="8"/>
  <c r="I736" i="8"/>
  <c r="I318" i="8"/>
  <c r="J826" i="8"/>
  <c r="J435" i="8"/>
  <c r="G662" i="8"/>
  <c r="J90" i="8"/>
  <c r="J155" i="8"/>
  <c r="J893" i="8"/>
  <c r="G505" i="8"/>
  <c r="H916" i="8"/>
  <c r="J884" i="8"/>
  <c r="H882" i="8"/>
  <c r="G690" i="8"/>
  <c r="I370" i="8"/>
  <c r="J338" i="8"/>
  <c r="G183" i="8"/>
  <c r="I917" i="8"/>
  <c r="J597" i="8"/>
  <c r="I533" i="8"/>
  <c r="J396" i="8"/>
  <c r="I746" i="8"/>
  <c r="H147" i="8"/>
  <c r="H569" i="8"/>
  <c r="H7" i="8"/>
  <c r="J498" i="8"/>
  <c r="I311" i="8"/>
  <c r="H55" i="8"/>
  <c r="I816" i="8"/>
  <c r="J303" i="8"/>
  <c r="H946" i="8"/>
  <c r="J434" i="8"/>
  <c r="I560" i="8"/>
  <c r="H481" i="8"/>
  <c r="I228" i="8"/>
  <c r="H991" i="8"/>
  <c r="I656" i="8"/>
  <c r="I660" i="8"/>
  <c r="G427" i="8"/>
  <c r="I929" i="8"/>
  <c r="H785" i="8"/>
  <c r="G849" i="8"/>
  <c r="H686" i="8"/>
  <c r="J586" i="8"/>
  <c r="H956" i="8"/>
  <c r="G603" i="8"/>
  <c r="G558" i="8"/>
  <c r="J841" i="8"/>
  <c r="H910" i="8"/>
  <c r="H810" i="8"/>
  <c r="J31" i="8"/>
  <c r="H931" i="8"/>
  <c r="H842" i="8"/>
  <c r="J548" i="8"/>
  <c r="J460" i="8"/>
  <c r="G554" i="8"/>
  <c r="H496" i="8"/>
  <c r="G275" i="8"/>
  <c r="H700" i="8"/>
  <c r="I292" i="8"/>
  <c r="G745" i="8"/>
  <c r="H745" i="8"/>
  <c r="J720" i="8"/>
  <c r="H528" i="8"/>
  <c r="J202" i="8"/>
  <c r="I202" i="8"/>
  <c r="J207" i="8"/>
  <c r="H582" i="8"/>
  <c r="I130" i="8"/>
  <c r="J130" i="8"/>
  <c r="J381" i="8"/>
  <c r="H803" i="8"/>
  <c r="H878" i="8"/>
  <c r="J57" i="8"/>
  <c r="I57" i="8"/>
  <c r="G57" i="8"/>
  <c r="I271" i="8"/>
  <c r="G271" i="8"/>
  <c r="J271" i="8"/>
  <c r="H987" i="8"/>
  <c r="I987" i="8"/>
  <c r="G987" i="8"/>
  <c r="I46" i="8"/>
  <c r="G742" i="8"/>
  <c r="I742" i="8"/>
  <c r="H742" i="8"/>
  <c r="J742" i="8"/>
  <c r="J305" i="8"/>
  <c r="G305" i="8"/>
  <c r="H305" i="8"/>
  <c r="I305" i="8"/>
  <c r="G570" i="8"/>
  <c r="G598" i="8"/>
  <c r="G969" i="8"/>
  <c r="H530" i="8"/>
  <c r="I421" i="8"/>
  <c r="H478" i="8"/>
  <c r="H730" i="8"/>
  <c r="G502" i="8"/>
  <c r="J59" i="8"/>
  <c r="G657" i="8"/>
  <c r="I42" i="8"/>
  <c r="G736" i="8"/>
  <c r="I826" i="8"/>
  <c r="H662" i="8"/>
  <c r="H155" i="8"/>
  <c r="I505" i="8"/>
  <c r="I884" i="8"/>
  <c r="H690" i="8"/>
  <c r="I338" i="8"/>
  <c r="G917" i="8"/>
  <c r="H533" i="8"/>
  <c r="H746" i="8"/>
  <c r="G569" i="8"/>
  <c r="G498" i="8"/>
  <c r="I55" i="8"/>
  <c r="G303" i="8"/>
  <c r="I434" i="8"/>
  <c r="I481" i="8"/>
  <c r="I991" i="8"/>
  <c r="H660" i="8"/>
  <c r="J929" i="8"/>
  <c r="I849" i="8"/>
  <c r="H586" i="8"/>
  <c r="H603" i="8"/>
  <c r="H841" i="8"/>
  <c r="I332" i="8"/>
  <c r="G810" i="8"/>
  <c r="G931" i="8"/>
  <c r="I701" i="8"/>
  <c r="I548" i="8"/>
  <c r="J554" i="8"/>
  <c r="J496" i="8"/>
  <c r="J700" i="8"/>
  <c r="J745" i="8"/>
  <c r="G720" i="8"/>
  <c r="H202" i="8"/>
  <c r="I207" i="8"/>
  <c r="G130" i="8"/>
  <c r="I381" i="8"/>
  <c r="J878" i="8"/>
  <c r="H57" i="8"/>
  <c r="H271" i="8"/>
  <c r="J865" i="8"/>
  <c r="G865" i="8"/>
  <c r="I865" i="8"/>
  <c r="H865" i="8"/>
  <c r="I867" i="8"/>
  <c r="J867" i="8"/>
  <c r="H867" i="8"/>
  <c r="G867" i="8"/>
  <c r="J987" i="8"/>
  <c r="I284" i="8"/>
  <c r="G284" i="8"/>
  <c r="H284" i="8"/>
  <c r="J284" i="8"/>
  <c r="J154" i="8"/>
  <c r="H726" i="8"/>
  <c r="G692" i="8"/>
  <c r="I453" i="8"/>
  <c r="G766" i="8"/>
  <c r="H762" i="8"/>
  <c r="I790" i="8"/>
  <c r="H91" i="8"/>
  <c r="J530" i="8"/>
  <c r="J837" i="8"/>
  <c r="J896" i="8"/>
  <c r="G478" i="8"/>
  <c r="J990" i="8"/>
  <c r="J474" i="8"/>
  <c r="I502" i="8"/>
  <c r="J315" i="8"/>
  <c r="J649" i="8"/>
  <c r="I657" i="8"/>
  <c r="J638" i="8"/>
  <c r="J283" i="8"/>
  <c r="J736" i="8"/>
  <c r="J318" i="8"/>
  <c r="J634" i="8"/>
  <c r="I662" i="8"/>
  <c r="G90" i="8"/>
  <c r="J961" i="8"/>
  <c r="H505" i="8"/>
  <c r="G916" i="8"/>
  <c r="J724" i="8"/>
  <c r="I690" i="8"/>
  <c r="H370" i="8"/>
  <c r="J146" i="8"/>
  <c r="H917" i="8"/>
  <c r="G597" i="8"/>
  <c r="J29" i="8"/>
  <c r="J746" i="8"/>
  <c r="G147" i="8"/>
  <c r="I769" i="8"/>
  <c r="H498" i="8"/>
  <c r="J311" i="8"/>
  <c r="J405" i="8"/>
  <c r="I303" i="8"/>
  <c r="G946" i="8"/>
  <c r="H247" i="8"/>
  <c r="J481" i="8"/>
  <c r="H228" i="8"/>
  <c r="H964" i="8"/>
  <c r="J660" i="8"/>
  <c r="I427" i="8"/>
  <c r="G9" i="8"/>
  <c r="H849" i="8"/>
  <c r="J686" i="8"/>
  <c r="J387" i="8"/>
  <c r="I603" i="8"/>
  <c r="J558" i="8"/>
  <c r="G624" i="8"/>
  <c r="J810" i="8"/>
  <c r="H31" i="8"/>
  <c r="H121" i="8"/>
  <c r="G548" i="8"/>
  <c r="J75" i="8"/>
  <c r="H682" i="8"/>
  <c r="H111" i="8"/>
  <c r="J504" i="8"/>
  <c r="I615" i="8"/>
  <c r="J501" i="8"/>
  <c r="I501" i="8"/>
  <c r="G501" i="8"/>
  <c r="I745" i="8"/>
  <c r="G974" i="8"/>
  <c r="J394" i="8"/>
  <c r="I394" i="8"/>
  <c r="H394" i="8"/>
  <c r="G202" i="8"/>
  <c r="J529" i="8"/>
  <c r="G675" i="8"/>
  <c r="J675" i="8"/>
  <c r="H675" i="8"/>
  <c r="H130" i="8"/>
  <c r="G592" i="8"/>
  <c r="I592" i="8"/>
  <c r="J592" i="8"/>
  <c r="I848" i="8"/>
  <c r="G848" i="8"/>
  <c r="J848" i="8"/>
  <c r="J89" i="8"/>
  <c r="I89" i="8"/>
  <c r="H89" i="8"/>
  <c r="H919" i="8"/>
  <c r="I919" i="8"/>
  <c r="G919" i="8"/>
  <c r="J919" i="8"/>
  <c r="H789" i="8"/>
  <c r="J789" i="8"/>
  <c r="I789" i="8"/>
  <c r="G789" i="8"/>
  <c r="H131" i="8"/>
  <c r="I131" i="8"/>
  <c r="J131" i="8"/>
  <c r="G131" i="8"/>
  <c r="I267" i="8"/>
  <c r="G267" i="8"/>
  <c r="G256" i="8"/>
  <c r="J256" i="8"/>
  <c r="H906" i="8"/>
  <c r="G906" i="8"/>
  <c r="I714" i="8"/>
  <c r="G714" i="8"/>
  <c r="H600" i="8"/>
  <c r="J600" i="8"/>
  <c r="J400" i="8"/>
  <c r="I400" i="8"/>
  <c r="I525" i="8"/>
  <c r="H525" i="8"/>
  <c r="J373" i="8"/>
  <c r="I373" i="8"/>
  <c r="G889" i="8"/>
  <c r="J889" i="8"/>
  <c r="H889" i="8"/>
  <c r="J266" i="8"/>
  <c r="I266" i="8"/>
  <c r="G266" i="8"/>
  <c r="H487" i="8"/>
  <c r="I487" i="8"/>
  <c r="G487" i="8"/>
  <c r="J487" i="8"/>
  <c r="G896" i="8"/>
  <c r="H474" i="8"/>
  <c r="I649" i="8"/>
  <c r="G283" i="8"/>
  <c r="H634" i="8"/>
  <c r="I961" i="8"/>
  <c r="G724" i="8"/>
  <c r="G146" i="8"/>
  <c r="I29" i="8"/>
  <c r="J769" i="8"/>
  <c r="I405" i="8"/>
  <c r="I247" i="8"/>
  <c r="J964" i="8"/>
  <c r="H9" i="8"/>
  <c r="I387" i="8"/>
  <c r="H624" i="8"/>
  <c r="G121" i="8"/>
  <c r="H782" i="8"/>
  <c r="J682" i="8"/>
  <c r="I239" i="8"/>
  <c r="H504" i="8"/>
  <c r="G185" i="8"/>
  <c r="J185" i="8"/>
  <c r="H267" i="8"/>
  <c r="I256" i="8"/>
  <c r="I469" i="8"/>
  <c r="J814" i="8"/>
  <c r="G814" i="8"/>
  <c r="J906" i="8"/>
  <c r="H714" i="8"/>
  <c r="I362" i="8"/>
  <c r="H17" i="8"/>
  <c r="I17" i="8"/>
  <c r="G600" i="8"/>
  <c r="H400" i="8"/>
  <c r="G938" i="8"/>
  <c r="G535" i="8"/>
  <c r="H535" i="8"/>
  <c r="G525" i="8"/>
  <c r="H373" i="8"/>
  <c r="I889" i="8"/>
  <c r="H266" i="8"/>
  <c r="H196" i="8"/>
  <c r="G196" i="8"/>
  <c r="I196" i="8"/>
  <c r="J211" i="8"/>
  <c r="G211" i="8"/>
  <c r="I211" i="8"/>
  <c r="H211" i="8"/>
  <c r="G85" i="8"/>
  <c r="J85" i="8"/>
  <c r="I85" i="8"/>
  <c r="H85" i="8"/>
  <c r="I896" i="8"/>
  <c r="I474" i="8"/>
  <c r="H649" i="8"/>
  <c r="H283" i="8"/>
  <c r="I634" i="8"/>
  <c r="H961" i="8"/>
  <c r="H724" i="8"/>
  <c r="H146" i="8"/>
  <c r="G29" i="8"/>
  <c r="G769" i="8"/>
  <c r="G405" i="8"/>
  <c r="J247" i="8"/>
  <c r="I964" i="8"/>
  <c r="J9" i="8"/>
  <c r="G387" i="8"/>
  <c r="I624" i="8"/>
  <c r="J121" i="8"/>
  <c r="I682" i="8"/>
  <c r="I275" i="8"/>
  <c r="G504" i="8"/>
  <c r="J267" i="8"/>
  <c r="I906" i="8"/>
  <c r="I600" i="8"/>
  <c r="J525" i="8"/>
  <c r="J364" i="8"/>
  <c r="H364" i="8"/>
  <c r="J60" i="8"/>
  <c r="I60" i="8"/>
  <c r="G60" i="8"/>
  <c r="I684" i="8"/>
  <c r="G684" i="8"/>
  <c r="H684" i="8"/>
  <c r="J684" i="8"/>
  <c r="H577" i="8"/>
  <c r="J577" i="8"/>
  <c r="G577" i="8"/>
  <c r="I577" i="8"/>
  <c r="I496" i="8"/>
  <c r="G292" i="8"/>
  <c r="I863" i="8"/>
  <c r="G863" i="8"/>
  <c r="J863" i="8"/>
  <c r="J528" i="8"/>
  <c r="J998" i="8"/>
  <c r="G998" i="8"/>
  <c r="H998" i="8"/>
  <c r="J582" i="8"/>
  <c r="I845" i="8"/>
  <c r="J845" i="8"/>
  <c r="G845" i="8"/>
  <c r="G803" i="8"/>
  <c r="I355" i="8"/>
  <c r="H355" i="8"/>
  <c r="J355" i="8"/>
  <c r="H778" i="8"/>
  <c r="J778" i="8"/>
  <c r="I778" i="8"/>
  <c r="G778" i="8"/>
  <c r="J976" i="8"/>
  <c r="G976" i="8"/>
  <c r="H976" i="8"/>
  <c r="I976" i="8"/>
  <c r="J326" i="8"/>
  <c r="H326" i="8"/>
  <c r="G326" i="8"/>
  <c r="I326" i="8"/>
  <c r="I11" i="8"/>
  <c r="H11" i="8"/>
  <c r="G11" i="8"/>
  <c r="J11" i="8"/>
  <c r="J622" i="8"/>
  <c r="G927" i="8"/>
  <c r="I359" i="8"/>
  <c r="J492" i="8"/>
  <c r="J468" i="8"/>
  <c r="J735" i="8"/>
  <c r="H739" i="8"/>
  <c r="I139" i="8"/>
  <c r="J588" i="8"/>
  <c r="I192" i="8"/>
  <c r="H53" i="8"/>
  <c r="J53" i="8"/>
  <c r="J302" i="8"/>
  <c r="J940" i="8"/>
  <c r="G540" i="8"/>
  <c r="I540" i="8"/>
  <c r="I34" i="8"/>
  <c r="I840" i="8"/>
  <c r="H857" i="8"/>
  <c r="G857" i="8"/>
  <c r="I644" i="8"/>
  <c r="J288" i="8"/>
  <c r="H288" i="8"/>
  <c r="J731" i="8"/>
  <c r="G245" i="8"/>
  <c r="I245" i="8"/>
  <c r="H965" i="8"/>
  <c r="G965" i="8"/>
  <c r="J965" i="8"/>
  <c r="I965" i="8"/>
  <c r="J341" i="8"/>
  <c r="G341" i="8"/>
  <c r="H733" i="8"/>
  <c r="I733" i="8"/>
  <c r="I352" i="8"/>
  <c r="G352" i="8"/>
  <c r="H352" i="8"/>
  <c r="J352" i="8"/>
  <c r="I509" i="8"/>
  <c r="H509" i="8"/>
  <c r="J509" i="8"/>
  <c r="G509" i="8"/>
  <c r="I972" i="8"/>
  <c r="H972" i="8"/>
  <c r="G972" i="8"/>
  <c r="J972" i="8"/>
  <c r="H5" i="8"/>
  <c r="G622" i="8"/>
  <c r="H748" i="8"/>
  <c r="J927" i="8"/>
  <c r="H345" i="8"/>
  <c r="J359" i="8"/>
  <c r="I641" i="8"/>
  <c r="I492" i="8"/>
  <c r="G96" i="8"/>
  <c r="I468" i="8"/>
  <c r="H472" i="8"/>
  <c r="J739" i="8"/>
  <c r="I118" i="8"/>
  <c r="I588" i="8"/>
  <c r="J809" i="8"/>
  <c r="I302" i="8"/>
  <c r="I940" i="8"/>
  <c r="J34" i="8"/>
  <c r="H840" i="8"/>
  <c r="G644" i="8"/>
  <c r="I923" i="8"/>
  <c r="H923" i="8"/>
  <c r="I341" i="8"/>
  <c r="I203" i="8"/>
  <c r="I1000" i="8"/>
  <c r="G1000" i="8"/>
  <c r="J733" i="8"/>
  <c r="G174" i="8"/>
  <c r="H174" i="8"/>
  <c r="J158" i="8"/>
  <c r="I158" i="8"/>
  <c r="H513" i="8"/>
  <c r="G513" i="8"/>
  <c r="I513" i="8"/>
  <c r="J513" i="8"/>
  <c r="H62" i="8"/>
  <c r="G62" i="8"/>
  <c r="I62" i="8"/>
  <c r="J62" i="8"/>
  <c r="H164" i="8"/>
  <c r="H66" i="8"/>
  <c r="H645" i="8"/>
  <c r="I622" i="8"/>
  <c r="H995" i="8"/>
  <c r="I927" i="8"/>
  <c r="H787" i="8"/>
  <c r="H359" i="8"/>
  <c r="G492" i="8"/>
  <c r="G468" i="8"/>
  <c r="G739" i="8"/>
  <c r="H588" i="8"/>
  <c r="G302" i="8"/>
  <c r="G940" i="8"/>
  <c r="H34" i="8"/>
  <c r="I259" i="8"/>
  <c r="J259" i="8"/>
  <c r="H259" i="8"/>
  <c r="G259" i="8"/>
  <c r="I668" i="8"/>
  <c r="G668" i="8"/>
  <c r="H668" i="8"/>
  <c r="J668" i="8"/>
  <c r="J772" i="8"/>
  <c r="I772" i="8"/>
  <c r="H772" i="8"/>
  <c r="G772" i="8"/>
  <c r="J408" i="8"/>
  <c r="G408" i="8"/>
  <c r="I408" i="8"/>
  <c r="H408" i="8"/>
  <c r="I330" i="8"/>
  <c r="G750" i="8"/>
  <c r="J5" i="8"/>
  <c r="I748" i="8"/>
  <c r="I345" i="8"/>
  <c r="H641" i="8"/>
  <c r="I96" i="8"/>
  <c r="G472" i="8"/>
  <c r="H735" i="8"/>
  <c r="J118" i="8"/>
  <c r="H139" i="8"/>
  <c r="I809" i="8"/>
  <c r="J192" i="8"/>
  <c r="I797" i="8"/>
  <c r="G997" i="8"/>
  <c r="J741" i="8"/>
  <c r="I741" i="8"/>
  <c r="H224" i="8"/>
  <c r="G203" i="8"/>
  <c r="H122" i="8"/>
  <c r="J122" i="8"/>
  <c r="J805" i="8"/>
  <c r="G805" i="8"/>
  <c r="H805" i="8"/>
  <c r="J174" i="8"/>
  <c r="H422" i="8"/>
  <c r="G422" i="8"/>
  <c r="H584" i="8"/>
  <c r="I584" i="8"/>
  <c r="G584" i="8"/>
  <c r="J681" i="8"/>
  <c r="G681" i="8"/>
  <c r="I681" i="8"/>
  <c r="H681" i="8"/>
  <c r="I149" i="8"/>
  <c r="J149" i="8"/>
  <c r="J67" i="8"/>
  <c r="I67" i="8"/>
  <c r="H67" i="8"/>
  <c r="G273" i="8"/>
  <c r="H273" i="8"/>
  <c r="J273" i="8"/>
  <c r="I273" i="8"/>
  <c r="G580" i="8"/>
  <c r="H580" i="8"/>
  <c r="J580" i="8"/>
  <c r="I580" i="8"/>
  <c r="H676" i="8"/>
  <c r="I676" i="8"/>
  <c r="J676" i="8"/>
  <c r="G676" i="8"/>
  <c r="G553" i="8"/>
  <c r="I553" i="8"/>
  <c r="H553" i="8"/>
  <c r="J553" i="8"/>
  <c r="G977" i="8"/>
  <c r="H977" i="8"/>
  <c r="I977" i="8"/>
  <c r="J977" i="8"/>
  <c r="J981" i="8"/>
  <c r="G981" i="8"/>
  <c r="I981" i="8"/>
  <c r="H981" i="8"/>
  <c r="G777" i="8"/>
  <c r="I777" i="8"/>
  <c r="J777" i="8"/>
  <c r="H777" i="8"/>
  <c r="I605" i="8"/>
  <c r="J605" i="8"/>
  <c r="G605" i="8"/>
  <c r="H605" i="8"/>
  <c r="I449" i="8"/>
  <c r="G449" i="8"/>
  <c r="H449" i="8"/>
  <c r="J449" i="8"/>
  <c r="H297" i="8"/>
  <c r="G297" i="8"/>
  <c r="I297" i="8"/>
  <c r="J297" i="8"/>
  <c r="I260" i="8"/>
  <c r="J797" i="8"/>
  <c r="H213" i="8"/>
  <c r="G64" i="8"/>
  <c r="I997" i="8"/>
  <c r="I636" i="8"/>
  <c r="G149" i="8"/>
  <c r="G459" i="8"/>
  <c r="I459" i="8"/>
  <c r="J696" i="8"/>
  <c r="H696" i="8"/>
  <c r="G67" i="8"/>
  <c r="J464" i="8"/>
  <c r="I464" i="8"/>
  <c r="H464" i="8"/>
  <c r="G464" i="8"/>
  <c r="I451" i="8"/>
  <c r="H451" i="8"/>
  <c r="G451" i="8"/>
  <c r="J451" i="8"/>
  <c r="J713" i="8"/>
  <c r="I713" i="8"/>
  <c r="G713" i="8"/>
  <c r="H713" i="8"/>
  <c r="G353" i="8"/>
  <c r="J353" i="8"/>
  <c r="H353" i="8"/>
  <c r="I353" i="8"/>
  <c r="I959" i="8"/>
  <c r="G959" i="8"/>
  <c r="J959" i="8"/>
  <c r="H959" i="8"/>
  <c r="H128" i="8"/>
  <c r="G110" i="8"/>
  <c r="H320" i="8"/>
  <c r="H859" i="8"/>
  <c r="J392" i="8"/>
  <c r="H160" i="8"/>
  <c r="J500" i="8"/>
  <c r="H465" i="8"/>
  <c r="H723" i="8"/>
  <c r="I28" i="8"/>
  <c r="G262" i="8"/>
  <c r="H398" i="8"/>
  <c r="H925" i="8"/>
  <c r="H518" i="8"/>
  <c r="J124" i="8"/>
  <c r="H911" i="8"/>
  <c r="I127" i="8"/>
  <c r="G361" i="8"/>
  <c r="J243" i="8"/>
  <c r="H457" i="8"/>
  <c r="I84" i="8"/>
  <c r="H703" i="8"/>
  <c r="J424" i="8"/>
  <c r="J629" i="8"/>
  <c r="H547" i="8"/>
  <c r="I413" i="8"/>
  <c r="G191" i="8"/>
  <c r="I795" i="8"/>
  <c r="I179" i="8"/>
  <c r="G499" i="8"/>
  <c r="J499" i="8"/>
  <c r="H773" i="8"/>
  <c r="G773" i="8"/>
  <c r="H285" i="8"/>
  <c r="I285" i="8"/>
  <c r="G285" i="8"/>
  <c r="J285" i="8"/>
  <c r="G791" i="8"/>
  <c r="J32" i="8"/>
  <c r="I792" i="8"/>
  <c r="J316" i="8"/>
  <c r="J707" i="8"/>
  <c r="J461" i="8"/>
  <c r="G732" i="8"/>
  <c r="G51" i="8"/>
  <c r="I587" i="8"/>
  <c r="I663" i="8"/>
  <c r="G888" i="8"/>
  <c r="H984" i="8"/>
  <c r="G84" i="8"/>
  <c r="H583" i="8"/>
  <c r="G703" i="8"/>
  <c r="H294" i="8"/>
  <c r="G424" i="8"/>
  <c r="G847" i="8"/>
  <c r="J876" i="8"/>
  <c r="H629" i="8"/>
  <c r="H92" i="8"/>
  <c r="G277" i="8"/>
  <c r="J678" i="8"/>
  <c r="J413" i="8"/>
  <c r="H331" i="8"/>
  <c r="G255" i="8"/>
  <c r="J795" i="8"/>
  <c r="G609" i="8"/>
  <c r="J680" i="8"/>
  <c r="I835" i="8"/>
  <c r="G835" i="8"/>
  <c r="J835" i="8"/>
  <c r="H397" i="8"/>
  <c r="G397" i="8"/>
  <c r="J716" i="8"/>
  <c r="H716" i="8"/>
  <c r="H448" i="8"/>
  <c r="J448" i="8"/>
  <c r="I448" i="8"/>
  <c r="I358" i="8"/>
  <c r="H358" i="8"/>
  <c r="J358" i="8"/>
  <c r="G358" i="8"/>
  <c r="I767" i="8"/>
  <c r="H767" i="8"/>
  <c r="G767" i="8"/>
  <c r="I524" i="8"/>
  <c r="H524" i="8"/>
  <c r="J524" i="8"/>
  <c r="G524" i="8"/>
  <c r="H801" i="8"/>
  <c r="I801" i="8"/>
  <c r="G801" i="8"/>
  <c r="G568" i="8"/>
  <c r="I568" i="8"/>
  <c r="J452" i="8"/>
  <c r="H452" i="8"/>
  <c r="J180" i="8"/>
  <c r="I180" i="8"/>
  <c r="H835" i="8"/>
  <c r="J397" i="8"/>
  <c r="I716" i="8"/>
  <c r="G887" i="8"/>
  <c r="H887" i="8"/>
  <c r="I445" i="8"/>
  <c r="H445" i="8"/>
  <c r="J445" i="8"/>
  <c r="H920" i="8"/>
  <c r="G920" i="8"/>
  <c r="I920" i="8"/>
  <c r="I109" i="8"/>
  <c r="J109" i="8"/>
  <c r="G109" i="8"/>
  <c r="J15" i="8"/>
  <c r="J156" i="8"/>
  <c r="I339" i="8"/>
  <c r="H461" i="8"/>
  <c r="I557" i="8"/>
  <c r="H51" i="8"/>
  <c r="J828" i="8"/>
  <c r="G663" i="8"/>
  <c r="J710" i="8"/>
  <c r="I888" i="8"/>
  <c r="J488" i="8"/>
  <c r="J984" i="8"/>
  <c r="J572" i="8"/>
  <c r="G583" i="8"/>
  <c r="H872" i="8"/>
  <c r="G294" i="8"/>
  <c r="G417" i="8"/>
  <c r="J847" i="8"/>
  <c r="I905" i="8"/>
  <c r="H876" i="8"/>
  <c r="H519" i="8"/>
  <c r="H277" i="8"/>
  <c r="I966" i="8"/>
  <c r="I678" i="8"/>
  <c r="I632" i="8"/>
  <c r="J331" i="8"/>
  <c r="J783" i="8"/>
  <c r="J255" i="8"/>
  <c r="G934" i="8"/>
  <c r="J609" i="8"/>
  <c r="I212" i="8"/>
  <c r="I680" i="8"/>
  <c r="H568" i="8"/>
  <c r="I452" i="8"/>
  <c r="G180" i="8"/>
  <c r="I397" i="8"/>
  <c r="G716" i="8"/>
  <c r="J307" i="8"/>
  <c r="G307" i="8"/>
  <c r="I307" i="8"/>
  <c r="H307" i="8"/>
  <c r="I484" i="8"/>
  <c r="G484" i="8"/>
  <c r="J484" i="8"/>
  <c r="J933" i="8"/>
  <c r="I933" i="8"/>
  <c r="G933" i="8"/>
  <c r="H933" i="8"/>
  <c r="H433" i="8"/>
  <c r="J433" i="8"/>
  <c r="I433" i="8"/>
  <c r="J920" i="8"/>
  <c r="H590" i="8"/>
  <c r="I590" i="8"/>
  <c r="J590" i="8"/>
  <c r="G590" i="8"/>
  <c r="G28" i="8"/>
  <c r="G461" i="8"/>
  <c r="I51" i="8"/>
  <c r="H663" i="8"/>
  <c r="H888" i="8"/>
  <c r="G984" i="8"/>
  <c r="J583" i="8"/>
  <c r="J294" i="8"/>
  <c r="I847" i="8"/>
  <c r="H729" i="8"/>
  <c r="G729" i="8"/>
  <c r="J729" i="8"/>
  <c r="J571" i="8"/>
  <c r="H571" i="8"/>
  <c r="I366" i="8"/>
  <c r="J366" i="8"/>
  <c r="H366" i="8"/>
  <c r="G293" i="8"/>
  <c r="J293" i="8"/>
  <c r="I293" i="8"/>
  <c r="H293" i="8"/>
  <c r="J339" i="8"/>
  <c r="H557" i="8"/>
  <c r="G828" i="8"/>
  <c r="H710" i="8"/>
  <c r="G488" i="8"/>
  <c r="G572" i="8"/>
  <c r="I872" i="8"/>
  <c r="I417" i="8"/>
  <c r="J905" i="8"/>
  <c r="G519" i="8"/>
  <c r="J547" i="8"/>
  <c r="G966" i="8"/>
  <c r="J632" i="8"/>
  <c r="I191" i="8"/>
  <c r="I783" i="8"/>
  <c r="I934" i="8"/>
  <c r="J179" i="8"/>
  <c r="J212" i="8"/>
  <c r="H973" i="8"/>
  <c r="G973" i="8"/>
  <c r="I771" i="8"/>
  <c r="G771" i="8"/>
  <c r="I616" i="8"/>
  <c r="G616" i="8"/>
  <c r="I729" i="8"/>
  <c r="G571" i="8"/>
  <c r="J56" i="8"/>
  <c r="G56" i="8"/>
  <c r="I56" i="8"/>
  <c r="G366" i="8"/>
  <c r="H416" i="8"/>
  <c r="G416" i="8"/>
  <c r="J416" i="8"/>
  <c r="I416" i="8"/>
  <c r="J647" i="8"/>
  <c r="G647" i="8"/>
  <c r="H647" i="8"/>
  <c r="J563" i="8"/>
  <c r="H563" i="8"/>
  <c r="G563" i="8"/>
  <c r="I563" i="8"/>
  <c r="G905" i="8"/>
  <c r="J966" i="8"/>
  <c r="G783" i="8"/>
  <c r="G212" i="8"/>
  <c r="G895" i="8"/>
  <c r="I895" i="8"/>
  <c r="J329" i="8"/>
  <c r="G329" i="8"/>
  <c r="H238" i="8"/>
  <c r="J238" i="8"/>
  <c r="G238" i="8"/>
  <c r="G497" i="8"/>
  <c r="I497" i="8"/>
  <c r="H999" i="8"/>
  <c r="I999" i="8"/>
  <c r="G80" i="8"/>
  <c r="I80" i="8"/>
  <c r="G78" i="8"/>
  <c r="J78" i="8"/>
  <c r="G443" i="8"/>
  <c r="J443" i="8"/>
  <c r="H891" i="8"/>
  <c r="G891" i="8"/>
  <c r="J455" i="8"/>
  <c r="G455" i="8"/>
  <c r="I709" i="8"/>
  <c r="J709" i="8"/>
  <c r="H304" i="8"/>
  <c r="G304" i="8"/>
  <c r="H955" i="8"/>
  <c r="I955" i="8"/>
  <c r="G232" i="8"/>
  <c r="I232" i="8"/>
  <c r="J269" i="8"/>
  <c r="H269" i="8"/>
  <c r="I269" i="8"/>
  <c r="H165" i="8"/>
  <c r="I165" i="8"/>
  <c r="G165" i="8"/>
  <c r="J165" i="8"/>
  <c r="J885" i="8"/>
  <c r="J827" i="8"/>
  <c r="J439" i="8"/>
  <c r="H497" i="8"/>
  <c r="G639" i="8"/>
  <c r="J999" i="8"/>
  <c r="I760" i="8"/>
  <c r="J80" i="8"/>
  <c r="G699" i="8"/>
  <c r="I78" i="8"/>
  <c r="H579" i="8"/>
  <c r="H443" i="8"/>
  <c r="G208" i="8"/>
  <c r="J891" i="8"/>
  <c r="G951" i="8"/>
  <c r="I455" i="8"/>
  <c r="G101" i="8"/>
  <c r="G709" i="8"/>
  <c r="I423" i="8"/>
  <c r="J304" i="8"/>
  <c r="G65" i="8"/>
  <c r="J955" i="8"/>
  <c r="H897" i="8"/>
  <c r="H232" i="8"/>
  <c r="J229" i="8"/>
  <c r="G229" i="8"/>
  <c r="H755" i="8"/>
  <c r="I755" i="8"/>
  <c r="J755" i="8"/>
  <c r="G269" i="8"/>
  <c r="I439" i="8"/>
  <c r="J497" i="8"/>
  <c r="H639" i="8"/>
  <c r="G999" i="8"/>
  <c r="H760" i="8"/>
  <c r="H80" i="8"/>
  <c r="I699" i="8"/>
  <c r="H78" i="8"/>
  <c r="I579" i="8"/>
  <c r="I443" i="8"/>
  <c r="I208" i="8"/>
  <c r="G37" i="8"/>
  <c r="I37" i="8"/>
  <c r="J37" i="8"/>
  <c r="I885" i="8"/>
  <c r="I827" i="8"/>
  <c r="I148" i="8"/>
  <c r="J1001" i="8"/>
  <c r="I52" i="8"/>
  <c r="J924" i="8"/>
  <c r="G69" i="8"/>
  <c r="J244" i="8"/>
  <c r="G689" i="8"/>
  <c r="H223" i="8"/>
  <c r="J627" i="8"/>
  <c r="G556" i="8"/>
  <c r="I136" i="8"/>
  <c r="H695" i="8"/>
  <c r="I261" i="8"/>
  <c r="J764" i="8"/>
  <c r="J197" i="8"/>
  <c r="I515" i="8"/>
  <c r="H37" i="8"/>
  <c r="G763" i="8"/>
  <c r="J763" i="8"/>
  <c r="G140" i="8"/>
  <c r="J140" i="8"/>
  <c r="J508" i="8"/>
  <c r="G508" i="8"/>
  <c r="H508" i="8"/>
  <c r="I508" i="8"/>
  <c r="J811" i="8"/>
  <c r="H811" i="8"/>
  <c r="G811" i="8"/>
  <c r="I811" i="8"/>
  <c r="J8" i="8"/>
  <c r="I8" i="8"/>
  <c r="H8" i="8"/>
  <c r="G8" i="8"/>
  <c r="I144" i="8"/>
  <c r="H144" i="8"/>
  <c r="I947" i="8"/>
  <c r="G947" i="8"/>
  <c r="G150" i="8"/>
  <c r="J150" i="8"/>
  <c r="I150" i="8"/>
  <c r="H150" i="8"/>
  <c r="H321" i="8"/>
  <c r="G321" i="8"/>
  <c r="I321" i="8"/>
  <c r="J321" i="8"/>
  <c r="J148" i="8"/>
  <c r="I1001" i="8"/>
  <c r="H52" i="8"/>
  <c r="H924" i="8"/>
  <c r="H69" i="8"/>
  <c r="I244" i="8"/>
  <c r="H689" i="8"/>
  <c r="J223" i="8"/>
  <c r="G627" i="8"/>
  <c r="I556" i="8"/>
  <c r="J136" i="8"/>
  <c r="J695" i="8"/>
  <c r="J261" i="8"/>
  <c r="I764" i="8"/>
  <c r="G197" i="8"/>
  <c r="J515" i="8"/>
  <c r="G144" i="8"/>
  <c r="I968" i="8"/>
  <c r="H968" i="8"/>
  <c r="J947" i="8"/>
  <c r="G879" i="8"/>
  <c r="I879" i="8"/>
  <c r="J879" i="8"/>
  <c r="H879" i="8"/>
  <c r="J205" i="8"/>
  <c r="I205" i="8"/>
  <c r="G205" i="8"/>
  <c r="H205" i="8"/>
  <c r="H869" i="8"/>
  <c r="I340" i="8"/>
  <c r="H142" i="8"/>
  <c r="G555" i="8"/>
  <c r="J161" i="8"/>
  <c r="G614" i="8"/>
  <c r="H102" i="8"/>
  <c r="J543" i="8"/>
  <c r="J907" i="8"/>
  <c r="J163" i="8"/>
  <c r="G393" i="8"/>
  <c r="G40" i="8"/>
  <c r="I908" i="8"/>
  <c r="J368" i="8"/>
  <c r="H717" i="8"/>
  <c r="J743" i="8"/>
  <c r="J617" i="8"/>
  <c r="J145" i="8"/>
  <c r="H200" i="8"/>
  <c r="J194" i="8"/>
  <c r="I257" i="8"/>
  <c r="J257" i="8"/>
  <c r="I967" i="8"/>
  <c r="G134" i="8"/>
  <c r="I589" i="8"/>
  <c r="I939" i="8"/>
  <c r="J712" i="8"/>
  <c r="G721" i="8"/>
  <c r="H471" i="8"/>
  <c r="G516" i="8"/>
  <c r="I105" i="8"/>
  <c r="H808" i="8"/>
  <c r="I808" i="8"/>
  <c r="J812" i="8"/>
  <c r="I812" i="8"/>
  <c r="H812" i="8"/>
  <c r="G169" i="8"/>
  <c r="I169" i="8"/>
  <c r="J230" i="8"/>
  <c r="H230" i="8"/>
  <c r="I230" i="8"/>
  <c r="H415" i="8"/>
  <c r="J415" i="8"/>
  <c r="G415" i="8"/>
  <c r="G462" i="8"/>
  <c r="H462" i="8"/>
  <c r="H611" i="8"/>
  <c r="J611" i="8"/>
  <c r="I868" i="8"/>
  <c r="J868" i="8"/>
  <c r="G868" i="8"/>
  <c r="H333" i="8"/>
  <c r="J333" i="8"/>
  <c r="I333" i="8"/>
  <c r="I21" i="8"/>
  <c r="G21" i="8"/>
  <c r="H21" i="8"/>
  <c r="G142" i="8"/>
  <c r="I555" i="8"/>
  <c r="H614" i="8"/>
  <c r="I543" i="8"/>
  <c r="J967" i="8"/>
  <c r="I163" i="8"/>
  <c r="J134" i="8"/>
  <c r="G589" i="8"/>
  <c r="G939" i="8"/>
  <c r="G712" i="8"/>
  <c r="J721" i="8"/>
  <c r="G471" i="8"/>
  <c r="I516" i="8"/>
  <c r="G105" i="8"/>
  <c r="J462" i="8"/>
  <c r="J808" i="8"/>
  <c r="G611" i="8"/>
  <c r="J216" i="8"/>
  <c r="I216" i="8"/>
  <c r="H868" i="8"/>
  <c r="J21" i="8"/>
  <c r="H168" i="8"/>
  <c r="I168" i="8"/>
  <c r="G168" i="8"/>
  <c r="J168" i="8"/>
  <c r="G334" i="8"/>
  <c r="I334" i="8"/>
  <c r="H334" i="8"/>
  <c r="J334" i="8"/>
  <c r="J30" i="8"/>
  <c r="G30" i="8"/>
  <c r="I30" i="8"/>
  <c r="H30" i="8"/>
  <c r="G129" i="8"/>
  <c r="J129" i="8"/>
  <c r="I129" i="8"/>
  <c r="H129" i="8"/>
  <c r="I301" i="8"/>
  <c r="J301" i="8"/>
  <c r="H301" i="8"/>
  <c r="G301" i="8"/>
  <c r="G336" i="8"/>
  <c r="I336" i="8"/>
  <c r="J336" i="8"/>
  <c r="H336" i="8"/>
  <c r="H967" i="8"/>
  <c r="H134" i="8"/>
  <c r="H589" i="8"/>
  <c r="H939" i="8"/>
  <c r="I712" i="8"/>
  <c r="I721" i="8"/>
  <c r="I471" i="8"/>
  <c r="J516" i="8"/>
  <c r="H105" i="8"/>
  <c r="I493" i="8"/>
  <c r="H493" i="8"/>
  <c r="J253" i="8"/>
  <c r="J198" i="8"/>
  <c r="H198" i="8"/>
  <c r="G198" i="8"/>
  <c r="I462" i="8"/>
  <c r="H216" i="8"/>
  <c r="G943" i="8"/>
  <c r="H943" i="8"/>
  <c r="I88" i="8"/>
  <c r="J88" i="8"/>
  <c r="G88" i="8"/>
  <c r="H88" i="8"/>
  <c r="J40" i="8"/>
  <c r="G368" i="8"/>
  <c r="I743" i="8"/>
  <c r="G145" i="8"/>
  <c r="I194" i="8"/>
  <c r="I201" i="8"/>
  <c r="J201" i="8"/>
  <c r="H253" i="8"/>
  <c r="H475" i="8"/>
  <c r="G475" i="8"/>
  <c r="G216" i="8"/>
  <c r="J94" i="8"/>
  <c r="I94" i="8"/>
  <c r="G94" i="8"/>
  <c r="I25" i="8"/>
  <c r="G25" i="8"/>
  <c r="H25" i="8"/>
  <c r="J25" i="8"/>
  <c r="G909" i="8"/>
  <c r="J909" i="8"/>
  <c r="H909" i="8"/>
  <c r="I909" i="8"/>
  <c r="J489" i="8"/>
  <c r="G489" i="8"/>
  <c r="I221" i="8"/>
  <c r="J221" i="8"/>
  <c r="I24" i="8"/>
  <c r="G24" i="8"/>
  <c r="G711" i="8"/>
  <c r="I711" i="8"/>
  <c r="H708" i="8"/>
  <c r="J708" i="8"/>
  <c r="G113" i="8"/>
  <c r="I113" i="8"/>
  <c r="J113" i="8"/>
  <c r="H838" i="8"/>
  <c r="I838" i="8"/>
  <c r="H348" i="8"/>
  <c r="G348" i="8"/>
  <c r="H372" i="8"/>
  <c r="G372" i="8"/>
  <c r="I372" i="8"/>
  <c r="J372" i="8"/>
  <c r="H81" i="8"/>
  <c r="H613" i="8"/>
  <c r="G765" i="8"/>
  <c r="I683" i="8"/>
  <c r="G511" i="8"/>
  <c r="J901" i="8"/>
  <c r="I141" i="8"/>
  <c r="H241" i="8"/>
  <c r="G125" i="8"/>
  <c r="J72" i="8"/>
  <c r="H43" i="8"/>
  <c r="H875" i="8"/>
  <c r="I120" i="8"/>
  <c r="I486" i="8"/>
  <c r="G35" i="8"/>
  <c r="G456" i="8"/>
  <c r="I567" i="8"/>
  <c r="I264" i="8"/>
  <c r="I137" i="8"/>
  <c r="J81" i="8"/>
  <c r="H621" i="8"/>
  <c r="I77" i="8"/>
  <c r="J613" i="8"/>
  <c r="I883" i="8"/>
  <c r="H870" i="8"/>
  <c r="I765" i="8"/>
  <c r="J190" i="8"/>
  <c r="H172" i="8"/>
  <c r="G683" i="8"/>
  <c r="I541" i="8"/>
  <c r="G531" i="8"/>
  <c r="I819" i="8"/>
  <c r="J511" i="8"/>
  <c r="J725" i="8"/>
  <c r="G903" i="8"/>
  <c r="I901" i="8"/>
  <c r="I447" i="8"/>
  <c r="G237" i="8"/>
  <c r="H173" i="8"/>
  <c r="H125" i="8"/>
  <c r="I775" i="8"/>
  <c r="I43" i="8"/>
  <c r="H189" i="8"/>
  <c r="J126" i="8"/>
  <c r="G567" i="8"/>
  <c r="J41" i="8"/>
  <c r="H137" i="8"/>
  <c r="H248" i="8"/>
  <c r="J77" i="8"/>
  <c r="J73" i="8"/>
  <c r="J870" i="8"/>
  <c r="I172" i="8"/>
  <c r="J531" i="8"/>
  <c r="H819" i="8"/>
  <c r="H903" i="8"/>
  <c r="H237" i="8"/>
  <c r="I173" i="8"/>
  <c r="J775" i="8"/>
  <c r="H567" i="8"/>
  <c r="J137" i="8"/>
  <c r="H77" i="8"/>
  <c r="G870" i="8"/>
  <c r="G172" i="8"/>
  <c r="I531" i="8"/>
  <c r="J819" i="8"/>
  <c r="I903" i="8"/>
  <c r="I237" i="8"/>
  <c r="G173" i="8"/>
  <c r="J8" i="7" l="1"/>
  <c r="N8" i="7"/>
  <c r="O8" i="7"/>
  <c r="L8" i="7"/>
  <c r="J12" i="7"/>
  <c r="L12" i="7"/>
  <c r="K12" i="7" l="1"/>
  <c r="M8" i="7"/>
  <c r="K8" i="7"/>
  <c r="M1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46D3BC-5376-466E-9415-9A277CF84D61}" keepAlive="1" name="查询 - Regular Season Table" description="与工作簿中“Regular Season Table”查询的连接。" type="5" refreshedVersion="0" background="1">
    <dbPr connection="Provider=Microsoft.Mashup.OleDb.1;Data Source=$Workbook$;Location=&quot;Regular Season Table&quot;;Extended Properties=&quot;&quot;" command="SELECT * FROM [Regular Season Table]"/>
  </connection>
  <connection id="2" xr16:uid="{11EAFAD3-C368-48D0-B4CD-AED8F26AC9CF}" keepAlive="1" name="查询 - Regular Season Table (2)" description="与工作簿中“Regular Season Table (2)”查询的连接。" type="5" refreshedVersion="7" background="1" saveData="1">
    <dbPr connection="Provider=Microsoft.Mashup.OleDb.1;Data Source=$Workbook$;Location=&quot;Regular Season Table (2)&quot;;Extended Properties=&quot;&quot;" command="SELECT * FROM [Regular Season Table (2)]"/>
  </connection>
  <connection id="3" xr16:uid="{D5DA95AF-742C-49D0-AA3E-42BE308CA059}" keepAlive="1" name="查询 - Regular Season Table (3)" description="与工作簿中“Regular Season Table (3)”查询的连接。" type="5" refreshedVersion="7" background="1" saveData="1">
    <dbPr connection="Provider=Microsoft.Mashup.OleDb.1;Data Source=$Workbook$;Location=&quot;Regular Season Table (3)&quot;;Extended Properties=&quot;&quot;" command="SELECT * FROM [Regular Season Table (3)]"/>
  </connection>
  <connection id="4" xr16:uid="{A3D9E97E-16C9-4C39-9887-4B7C23AAE88F}" keepAlive="1" name="查询 - Table 0" description="与工作簿中“Table 0”查询的连接。" type="5" refreshedVersion="7" background="1" saveData="1">
    <dbPr connection="Provider=Microsoft.Mashup.OleDb.1;Data Source=$Workbook$;Location=&quot;Table 0&quot;;Extended Properties=&quot;&quot;" command="SELECT * FROM [Table 0]"/>
  </connection>
  <connection id="5" xr16:uid="{30D0BBCE-2C04-4982-B340-742C5C3C616B}" keepAlive="1" name="查询 - Table 0 (2)" description="与工作簿中“Table 0 (2)”查询的连接。" type="5" refreshedVersion="7" background="1" saveData="1">
    <dbPr connection="Provider=Microsoft.Mashup.OleDb.1;Data Source=$Workbook$;Location=&quot;Table 0 (2)&quot;;Extended Properties=&quot;&quot;" command="SELECT * FROM [Table 0 (2)]"/>
  </connection>
</connections>
</file>

<file path=xl/sharedStrings.xml><?xml version="1.0" encoding="utf-8"?>
<sst xmlns="http://schemas.openxmlformats.org/spreadsheetml/2006/main" count="6341" uniqueCount="729">
  <si>
    <t>Rank</t>
  </si>
  <si>
    <t>Team</t>
  </si>
  <si>
    <t>2021</t>
  </si>
  <si>
    <t>Last 3</t>
  </si>
  <si>
    <t>Last 1</t>
  </si>
  <si>
    <t>Home</t>
  </si>
  <si>
    <t>Away</t>
  </si>
  <si>
    <t>2020</t>
  </si>
  <si>
    <t>Charlotte</t>
  </si>
  <si>
    <t>New York</t>
  </si>
  <si>
    <t>Utah</t>
  </si>
  <si>
    <t>LA Lakers</t>
  </si>
  <si>
    <t>Golden State</t>
  </si>
  <si>
    <t>Indiana</t>
  </si>
  <si>
    <t>Portland</t>
  </si>
  <si>
    <t>Washington</t>
  </si>
  <si>
    <t>Memphis</t>
  </si>
  <si>
    <t>Miami</t>
  </si>
  <si>
    <t>Philadelphia</t>
  </si>
  <si>
    <t>Sacramento</t>
  </si>
  <si>
    <t>San Antonio</t>
  </si>
  <si>
    <t>Milwaukee</t>
  </si>
  <si>
    <t>Boston</t>
  </si>
  <si>
    <t>Phoenix</t>
  </si>
  <si>
    <t>Chicago</t>
  </si>
  <si>
    <t>Atlanta</t>
  </si>
  <si>
    <t>Brooklyn</t>
  </si>
  <si>
    <t>LA Clippers</t>
  </si>
  <si>
    <t>Toronto</t>
  </si>
  <si>
    <t>Minnesota</t>
  </si>
  <si>
    <t>Houston</t>
  </si>
  <si>
    <t>Cleveland</t>
  </si>
  <si>
    <t>New Orleans</t>
  </si>
  <si>
    <t>Denver</t>
  </si>
  <si>
    <t>Dallas</t>
  </si>
  <si>
    <t>Orlando</t>
  </si>
  <si>
    <t>Okla City</t>
  </si>
  <si>
    <t>Detroit</t>
  </si>
  <si>
    <t>客场队伍</t>
    <phoneticPr fontId="1" type="noConversion"/>
  </si>
  <si>
    <t>主场队伍</t>
    <phoneticPr fontId="1" type="noConversion"/>
  </si>
  <si>
    <t>Rk</t>
  </si>
  <si>
    <t>G</t>
  </si>
  <si>
    <t>Date</t>
  </si>
  <si>
    <t>Column1</t>
  </si>
  <si>
    <t>Opp</t>
  </si>
  <si>
    <t>W/L</t>
  </si>
  <si>
    <t>Tm</t>
  </si>
  <si>
    <t>Opp2</t>
  </si>
  <si>
    <t>2</t>
  </si>
  <si>
    <t>3</t>
  </si>
  <si>
    <t>1</t>
  </si>
  <si>
    <t>WAS</t>
  </si>
  <si>
    <t>W</t>
  </si>
  <si>
    <t>113</t>
  </si>
  <si>
    <t>107</t>
  </si>
  <si>
    <t>.345</t>
  </si>
  <si>
    <t>.517</t>
  </si>
  <si>
    <t>@</t>
  </si>
  <si>
    <t>NYK</t>
  </si>
  <si>
    <t>109</t>
  </si>
  <si>
    <t>89</t>
  </si>
  <si>
    <t>.250</t>
  </si>
  <si>
    <t>.528</t>
  </si>
  <si>
    <t>2020-12-27</t>
  </si>
  <si>
    <t>CLE</t>
  </si>
  <si>
    <t>L</t>
  </si>
  <si>
    <t>94</t>
  </si>
  <si>
    <t>118</t>
  </si>
  <si>
    <t>.530</t>
  </si>
  <si>
    <t>.494</t>
  </si>
  <si>
    <t>4</t>
  </si>
  <si>
    <t>TOR</t>
  </si>
  <si>
    <t>100</t>
  </si>
  <si>
    <t>93</t>
  </si>
  <si>
    <t>.393</t>
  </si>
  <si>
    <t>.369</t>
  </si>
  <si>
    <t>.429</t>
  </si>
  <si>
    <t>.333</t>
  </si>
  <si>
    <t>5</t>
  </si>
  <si>
    <t>ORL</t>
  </si>
  <si>
    <t>116</t>
  </si>
  <si>
    <t>92</t>
  </si>
  <si>
    <t>.566</t>
  </si>
  <si>
    <t>.384</t>
  </si>
  <si>
    <t>.200</t>
  </si>
  <si>
    <t>6</t>
  </si>
  <si>
    <t>CHO</t>
  </si>
  <si>
    <t>127</t>
  </si>
  <si>
    <t>112</t>
  </si>
  <si>
    <t>.304</t>
  </si>
  <si>
    <t>.443</t>
  </si>
  <si>
    <t>.484</t>
  </si>
  <si>
    <t>7</t>
  </si>
  <si>
    <t>101</t>
  </si>
  <si>
    <t>8</t>
  </si>
  <si>
    <t>141</t>
  </si>
  <si>
    <t>136</t>
  </si>
  <si>
    <t>.407</t>
  </si>
  <si>
    <t>9</t>
  </si>
  <si>
    <t>2021-01-07</t>
  </si>
  <si>
    <t>122</t>
  </si>
  <si>
    <t>.523</t>
  </si>
  <si>
    <t>.531</t>
  </si>
  <si>
    <t>10</t>
  </si>
  <si>
    <t>DEN</t>
  </si>
  <si>
    <t>103</t>
  </si>
  <si>
    <t>115</t>
  </si>
  <si>
    <t>.471</t>
  </si>
  <si>
    <t>11</t>
  </si>
  <si>
    <t>ATL</t>
  </si>
  <si>
    <t>.391</t>
  </si>
  <si>
    <t>.460</t>
  </si>
  <si>
    <t>12</t>
  </si>
  <si>
    <t>2021-01-12</t>
  </si>
  <si>
    <t>MIA</t>
  </si>
  <si>
    <t>134</t>
  </si>
  <si>
    <t>.539</t>
  </si>
  <si>
    <t>.583</t>
  </si>
  <si>
    <t>.553</t>
  </si>
  <si>
    <t>13</t>
  </si>
  <si>
    <t>125</t>
  </si>
  <si>
    <t>108</t>
  </si>
  <si>
    <t>.451</t>
  </si>
  <si>
    <t>.568</t>
  </si>
  <si>
    <t>14</t>
  </si>
  <si>
    <t>2021-01-16</t>
  </si>
  <si>
    <t>MEM</t>
  </si>
  <si>
    <t>104</t>
  </si>
  <si>
    <t>106</t>
  </si>
  <si>
    <t>.482</t>
  </si>
  <si>
    <t>.475</t>
  </si>
  <si>
    <t>15</t>
  </si>
  <si>
    <t>2021-01-20</t>
  </si>
  <si>
    <t>BOS</t>
  </si>
  <si>
    <t>117</t>
  </si>
  <si>
    <t>.346</t>
  </si>
  <si>
    <t>.519</t>
  </si>
  <si>
    <t>.462</t>
  </si>
  <si>
    <t>16</t>
  </si>
  <si>
    <t>2021-01-22</t>
  </si>
  <si>
    <t>110</t>
  </si>
  <si>
    <t>.296</t>
  </si>
  <si>
    <t>17</t>
  </si>
  <si>
    <t>2021-01-23</t>
  </si>
  <si>
    <t>DET</t>
  </si>
  <si>
    <t>114</t>
  </si>
  <si>
    <t>.506</t>
  </si>
  <si>
    <t>.361</t>
  </si>
  <si>
    <t>.512</t>
  </si>
  <si>
    <t>.256</t>
  </si>
  <si>
    <t>18</t>
  </si>
  <si>
    <t>2021-01-25</t>
  </si>
  <si>
    <t>119</t>
  </si>
  <si>
    <t>.473</t>
  </si>
  <si>
    <t>.621</t>
  </si>
  <si>
    <t>.457</t>
  </si>
  <si>
    <t>19</t>
  </si>
  <si>
    <t>2021-01-27</t>
  </si>
  <si>
    <t>LAL</t>
  </si>
  <si>
    <t>.294</t>
  </si>
  <si>
    <t>20</t>
  </si>
  <si>
    <t>2021-01-29</t>
  </si>
  <si>
    <t>MIN</t>
  </si>
  <si>
    <t>.437</t>
  </si>
  <si>
    <t>.488</t>
  </si>
  <si>
    <t>21</t>
  </si>
  <si>
    <t>2021-01-31</t>
  </si>
  <si>
    <t>IND</t>
  </si>
  <si>
    <t>.283</t>
  </si>
  <si>
    <t>.533</t>
  </si>
  <si>
    <t>.548</t>
  </si>
  <si>
    <t>22</t>
  </si>
  <si>
    <t>111</t>
  </si>
  <si>
    <t>.405</t>
  </si>
  <si>
    <t>.529</t>
  </si>
  <si>
    <t>23</t>
  </si>
  <si>
    <t>POR</t>
  </si>
  <si>
    <t>105</t>
  </si>
  <si>
    <t>121</t>
  </si>
  <si>
    <t>.573</t>
  </si>
  <si>
    <t>.525</t>
  </si>
  <si>
    <t>24</t>
  </si>
  <si>
    <t>2021-02-06</t>
  </si>
  <si>
    <t>124</t>
  </si>
  <si>
    <t>25</t>
  </si>
  <si>
    <t>2021-02-09</t>
  </si>
  <si>
    <t>SAC</t>
  </si>
  <si>
    <t>.412</t>
  </si>
  <si>
    <t>.505</t>
  </si>
  <si>
    <t>26</t>
  </si>
  <si>
    <t>27</t>
  </si>
  <si>
    <t>2021-02-13</t>
  </si>
  <si>
    <t>PHO</t>
  </si>
  <si>
    <t>120</t>
  </si>
  <si>
    <t>.452</t>
  </si>
  <si>
    <t>28</t>
  </si>
  <si>
    <t>2021-02-15</t>
  </si>
  <si>
    <t>UTA</t>
  </si>
  <si>
    <t>123</t>
  </si>
  <si>
    <t>.588</t>
  </si>
  <si>
    <t>29</t>
  </si>
  <si>
    <t>HOU</t>
  </si>
  <si>
    <t>.395</t>
  </si>
  <si>
    <t>.538</t>
  </si>
  <si>
    <t>30</t>
  </si>
  <si>
    <t>CHI</t>
  </si>
  <si>
    <t>.511</t>
  </si>
  <si>
    <t>.189</t>
  </si>
  <si>
    <t>31</t>
  </si>
  <si>
    <t>2021-02-21</t>
  </si>
  <si>
    <t>.453</t>
  </si>
  <si>
    <t>32</t>
  </si>
  <si>
    <t>2021-02-23</t>
  </si>
  <si>
    <t>.325</t>
  </si>
  <si>
    <t>.489</t>
  </si>
  <si>
    <t>33</t>
  </si>
  <si>
    <t>2021-02-25</t>
  </si>
  <si>
    <t>DAL</t>
  </si>
  <si>
    <t>97</t>
  </si>
  <si>
    <t>.500</t>
  </si>
  <si>
    <t>34</t>
  </si>
  <si>
    <t>2021-02-27</t>
  </si>
  <si>
    <t>.422</t>
  </si>
  <si>
    <t>.554</t>
  </si>
  <si>
    <t>.518</t>
  </si>
  <si>
    <t>.464</t>
  </si>
  <si>
    <t>35</t>
  </si>
  <si>
    <t>2021-03-01</t>
  </si>
  <si>
    <t>130</t>
  </si>
  <si>
    <t>.684</t>
  </si>
  <si>
    <t>36</t>
  </si>
  <si>
    <t>2021-03-03</t>
  </si>
  <si>
    <t>.559</t>
  </si>
  <si>
    <t>.290</t>
  </si>
  <si>
    <t>.545</t>
  </si>
  <si>
    <t>37</t>
  </si>
  <si>
    <t>2021-03-11</t>
  </si>
  <si>
    <t>.320</t>
  </si>
  <si>
    <t>.579</t>
  </si>
  <si>
    <t>38</t>
  </si>
  <si>
    <t>39</t>
  </si>
  <si>
    <t>SAS</t>
  </si>
  <si>
    <t>99</t>
  </si>
  <si>
    <t>.447</t>
  </si>
  <si>
    <t>40</t>
  </si>
  <si>
    <t>96</t>
  </si>
  <si>
    <t>.472</t>
  </si>
  <si>
    <t>41</t>
  </si>
  <si>
    <t>2021-03-17</t>
  </si>
  <si>
    <t>MIL</t>
  </si>
  <si>
    <t>.459</t>
  </si>
  <si>
    <t>42</t>
  </si>
  <si>
    <t>129</t>
  </si>
  <si>
    <t>.267</t>
  </si>
  <si>
    <t>43</t>
  </si>
  <si>
    <t>2021-03-21</t>
  </si>
  <si>
    <t>44</t>
  </si>
  <si>
    <t>2021-03-23</t>
  </si>
  <si>
    <t>GSW</t>
  </si>
  <si>
    <t>98</t>
  </si>
  <si>
    <t>45</t>
  </si>
  <si>
    <t>.308</t>
  </si>
  <si>
    <t>46</t>
  </si>
  <si>
    <t>LAC</t>
  </si>
  <si>
    <t>47</t>
  </si>
  <si>
    <t>95</t>
  </si>
  <si>
    <t>.427</t>
  </si>
  <si>
    <t>48</t>
  </si>
  <si>
    <t>2021-04-01</t>
  </si>
  <si>
    <t>49</t>
  </si>
  <si>
    <t>50</t>
  </si>
  <si>
    <t>2021-04-04</t>
  </si>
  <si>
    <t>51</t>
  </si>
  <si>
    <t>52</t>
  </si>
  <si>
    <t>NOP</t>
  </si>
  <si>
    <t>53</t>
  </si>
  <si>
    <t>2021-04-10</t>
  </si>
  <si>
    <t>OKC</t>
  </si>
  <si>
    <t>.404</t>
  </si>
  <si>
    <t>.532</t>
  </si>
  <si>
    <t>54</t>
  </si>
  <si>
    <t>.413</t>
  </si>
  <si>
    <t>.388</t>
  </si>
  <si>
    <t>.476</t>
  </si>
  <si>
    <t>55</t>
  </si>
  <si>
    <t>2021-04-14</t>
  </si>
  <si>
    <t>56</t>
  </si>
  <si>
    <t>2021-04-16</t>
  </si>
  <si>
    <t>.551</t>
  </si>
  <si>
    <t>.265</t>
  </si>
  <si>
    <t>57</t>
  </si>
  <si>
    <t>58</t>
  </si>
  <si>
    <t>2021-04-21</t>
  </si>
  <si>
    <t>.313</t>
  </si>
  <si>
    <t>59</t>
  </si>
  <si>
    <t>60</t>
  </si>
  <si>
    <t>132</t>
  </si>
  <si>
    <t>.415</t>
  </si>
  <si>
    <t>.378</t>
  </si>
  <si>
    <t>.421</t>
  </si>
  <si>
    <t>61</t>
  </si>
  <si>
    <t>90</t>
  </si>
  <si>
    <t>62</t>
  </si>
  <si>
    <t>83</t>
  </si>
  <si>
    <t>.370</t>
  </si>
  <si>
    <t>63</t>
  </si>
  <si>
    <t>2021-04-30</t>
  </si>
  <si>
    <t>126</t>
  </si>
  <si>
    <t>.560</t>
  </si>
  <si>
    <t>.268</t>
  </si>
  <si>
    <t>64</t>
  </si>
  <si>
    <t>2021-05-02</t>
  </si>
  <si>
    <t>65</t>
  </si>
  <si>
    <t>.477</t>
  </si>
  <si>
    <t>66</t>
  </si>
  <si>
    <t>135</t>
  </si>
  <si>
    <t>67</t>
  </si>
  <si>
    <t>.576</t>
  </si>
  <si>
    <t>68</t>
  </si>
  <si>
    <t>2021-05-08</t>
  </si>
  <si>
    <t>.357</t>
  </si>
  <si>
    <t>69</t>
  </si>
  <si>
    <t>2021-05-11</t>
  </si>
  <si>
    <t>.483</t>
  </si>
  <si>
    <t>70</t>
  </si>
  <si>
    <t>71</t>
  </si>
  <si>
    <t>.366</t>
  </si>
  <si>
    <t>72</t>
  </si>
  <si>
    <t>2021-05-16</t>
  </si>
  <si>
    <t>128</t>
  </si>
  <si>
    <t>.426</t>
  </si>
  <si>
    <t>.615</t>
  </si>
  <si>
    <t>Team FG</t>
  </si>
  <si>
    <t>Team FGA</t>
  </si>
  <si>
    <t>Team FG%</t>
  </si>
  <si>
    <t>Team 3P</t>
  </si>
  <si>
    <t>Team 3PA</t>
  </si>
  <si>
    <t>Team 3P%</t>
  </si>
  <si>
    <t>Team FT</t>
  </si>
  <si>
    <t>Team FTA</t>
  </si>
  <si>
    <t>Team FT%</t>
  </si>
  <si>
    <t>Team ORB</t>
  </si>
  <si>
    <t>Team TRB</t>
  </si>
  <si>
    <t>Team AST</t>
  </si>
  <si>
    <t>Team STL</t>
  </si>
  <si>
    <t>Team BLK</t>
  </si>
  <si>
    <t>Team TOV</t>
  </si>
  <si>
    <t>Team PF</t>
  </si>
  <si>
    <t>Opponent FG</t>
  </si>
  <si>
    <t>Opponent FGA</t>
  </si>
  <si>
    <t>Opponent FG%</t>
  </si>
  <si>
    <t>Opponent 3P</t>
  </si>
  <si>
    <t>Opponent 3PA</t>
  </si>
  <si>
    <t>Opponent 3P%</t>
  </si>
  <si>
    <t>Opponent FT</t>
  </si>
  <si>
    <t>Opponent FTA</t>
  </si>
  <si>
    <t>Opponent FT%</t>
  </si>
  <si>
    <t>Opponent ORB</t>
  </si>
  <si>
    <t>Opponent TRB</t>
  </si>
  <si>
    <t>Opponent AST</t>
  </si>
  <si>
    <t>Opponent STL</t>
  </si>
  <si>
    <t>Opponent BLK</t>
  </si>
  <si>
    <t>Opponent TOV</t>
  </si>
  <si>
    <t>Opponent PF</t>
  </si>
  <si>
    <t>2020-12-22</t>
  </si>
  <si>
    <t>.813</t>
  </si>
  <si>
    <t>.374</t>
  </si>
  <si>
    <t>.303</t>
  </si>
  <si>
    <t>.652</t>
  </si>
  <si>
    <t>2020-12-25</t>
  </si>
  <si>
    <t>76</t>
  </si>
  <si>
    <t>.839</t>
  </si>
  <si>
    <t>82</t>
  </si>
  <si>
    <t>.362</t>
  </si>
  <si>
    <t>.680</t>
  </si>
  <si>
    <t>.448</t>
  </si>
  <si>
    <t>2020-12-28</t>
  </si>
  <si>
    <t>.410</t>
  </si>
  <si>
    <t>.882</t>
  </si>
  <si>
    <t>.759</t>
  </si>
  <si>
    <t>2020-12-30</t>
  </si>
  <si>
    <t>145</t>
  </si>
  <si>
    <t>.540</t>
  </si>
  <si>
    <t>.463</t>
  </si>
  <si>
    <t>.783</t>
  </si>
  <si>
    <t>.829</t>
  </si>
  <si>
    <t>2021-01-01</t>
  </si>
  <si>
    <t>86</t>
  </si>
  <si>
    <t>.826</t>
  </si>
  <si>
    <t>.857</t>
  </si>
  <si>
    <t>2021-01-03</t>
  </si>
  <si>
    <t>81</t>
  </si>
  <si>
    <t>.438</t>
  </si>
  <si>
    <t>.903</t>
  </si>
  <si>
    <t>.364</t>
  </si>
  <si>
    <t>.735</t>
  </si>
  <si>
    <t>2021-01-05</t>
  </si>
  <si>
    <t>.389</t>
  </si>
  <si>
    <t>.750</t>
  </si>
  <si>
    <t>.324</t>
  </si>
  <si>
    <t>.704</t>
  </si>
  <si>
    <t>PHI</t>
  </si>
  <si>
    <t>.454</t>
  </si>
  <si>
    <t>.655</t>
  </si>
  <si>
    <t>87</t>
  </si>
  <si>
    <t>.900</t>
  </si>
  <si>
    <t>2021-01-08</t>
  </si>
  <si>
    <t>.469</t>
  </si>
  <si>
    <t>.952</t>
  </si>
  <si>
    <t>.406</t>
  </si>
  <si>
    <t>2021-01-10</t>
  </si>
  <si>
    <t>85</t>
  </si>
  <si>
    <t>.833</t>
  </si>
  <si>
    <t>.544</t>
  </si>
  <si>
    <t>.385</t>
  </si>
  <si>
    <t>.941</t>
  </si>
  <si>
    <t>79</t>
  </si>
  <si>
    <t>.608</t>
  </si>
  <si>
    <t>.667</t>
  </si>
  <si>
    <t>88</t>
  </si>
  <si>
    <t>.486</t>
  </si>
  <si>
    <t>.625</t>
  </si>
  <si>
    <t>2021-01-13</t>
  </si>
  <si>
    <t>91</t>
  </si>
  <si>
    <t>.400</t>
  </si>
  <si>
    <t>.706</t>
  </si>
  <si>
    <t>.478</t>
  </si>
  <si>
    <t>78</t>
  </si>
  <si>
    <t>.880</t>
  </si>
  <si>
    <t>2021-01-18</t>
  </si>
  <si>
    <t>84</t>
  </si>
  <si>
    <t>.289</t>
  </si>
  <si>
    <t>147</t>
  </si>
  <si>
    <t>.889</t>
  </si>
  <si>
    <t>.514</t>
  </si>
  <si>
    <t>.714</t>
  </si>
  <si>
    <t>.326</t>
  </si>
  <si>
    <t>.844</t>
  </si>
  <si>
    <t>.808</t>
  </si>
  <si>
    <t>0</t>
  </si>
  <si>
    <t>.864</t>
  </si>
  <si>
    <t>.344</t>
  </si>
  <si>
    <t>.850</t>
  </si>
  <si>
    <t>.479</t>
  </si>
  <si>
    <t>.394</t>
  </si>
  <si>
    <t>.893</t>
  </si>
  <si>
    <t>.570</t>
  </si>
  <si>
    <t>.875</t>
  </si>
  <si>
    <t>.465</t>
  </si>
  <si>
    <t>.853</t>
  </si>
  <si>
    <t>146</t>
  </si>
  <si>
    <t>149</t>
  </si>
  <si>
    <t>.818</t>
  </si>
  <si>
    <t>.781</t>
  </si>
  <si>
    <t>2021-02-02</t>
  </si>
  <si>
    <t>.419</t>
  </si>
  <si>
    <t>.455</t>
  </si>
  <si>
    <t>.417</t>
  </si>
  <si>
    <t>2021-02-05</t>
  </si>
  <si>
    <t>80</t>
  </si>
  <si>
    <t>.367</t>
  </si>
  <si>
    <t>2021-02-10</t>
  </si>
  <si>
    <t>.886</t>
  </si>
  <si>
    <t>.636</t>
  </si>
  <si>
    <t>.800</t>
  </si>
  <si>
    <t>.574</t>
  </si>
  <si>
    <t>.846</t>
  </si>
  <si>
    <t>2021-02-16</t>
  </si>
  <si>
    <t>.933</t>
  </si>
  <si>
    <t>.432</t>
  </si>
  <si>
    <t>1.000</t>
  </si>
  <si>
    <t>2021-02-18</t>
  </si>
  <si>
    <t>77</t>
  </si>
  <si>
    <t>.722</t>
  </si>
  <si>
    <t>.425</t>
  </si>
  <si>
    <t>.710</t>
  </si>
  <si>
    <t>.444</t>
  </si>
  <si>
    <t>.786</t>
  </si>
  <si>
    <t>.402</t>
  </si>
  <si>
    <t>.867</t>
  </si>
  <si>
    <t>.318</t>
  </si>
  <si>
    <t>.737</t>
  </si>
  <si>
    <t>.647</t>
  </si>
  <si>
    <t>.470</t>
  </si>
  <si>
    <t>.765</t>
  </si>
  <si>
    <t>.708</t>
  </si>
  <si>
    <t>.418</t>
  </si>
  <si>
    <t>2021-03-13</t>
  </si>
  <si>
    <t>.222</t>
  </si>
  <si>
    <t>.727</t>
  </si>
  <si>
    <t>2021-03-15</t>
  </si>
  <si>
    <t>.414</t>
  </si>
  <si>
    <t>.773</t>
  </si>
  <si>
    <t>.852</t>
  </si>
  <si>
    <t>.775</t>
  </si>
  <si>
    <t>.281</t>
  </si>
  <si>
    <t>2021-03-19</t>
  </si>
  <si>
    <t>.270</t>
  </si>
  <si>
    <t>.739</t>
  </si>
  <si>
    <t>.700</t>
  </si>
  <si>
    <t>.310</t>
  </si>
  <si>
    <t>.789</t>
  </si>
  <si>
    <t>.300</t>
  </si>
  <si>
    <t>.778</t>
  </si>
  <si>
    <t>.913</t>
  </si>
  <si>
    <t>2021-03-24</t>
  </si>
  <si>
    <t>.733</t>
  </si>
  <si>
    <t>.929</t>
  </si>
  <si>
    <t>2021-03-26</t>
  </si>
  <si>
    <t>.440</t>
  </si>
  <si>
    <t>73</t>
  </si>
  <si>
    <t>.355</t>
  </si>
  <si>
    <t>.723</t>
  </si>
  <si>
    <t>2021-03-29</t>
  </si>
  <si>
    <t>2021-03-31</t>
  </si>
  <si>
    <t>.349</t>
  </si>
  <si>
    <t>.342</t>
  </si>
  <si>
    <t>.842</t>
  </si>
  <si>
    <t>2021-04-05</t>
  </si>
  <si>
    <t>.769</t>
  </si>
  <si>
    <t>2021-04-07</t>
  </si>
  <si>
    <t>139</t>
  </si>
  <si>
    <t>.744</t>
  </si>
  <si>
    <t>.185</t>
  </si>
  <si>
    <t>.650</t>
  </si>
  <si>
    <t>2021-04-13</t>
  </si>
  <si>
    <t>.190</t>
  </si>
  <si>
    <t>.938</t>
  </si>
  <si>
    <t>.353</t>
  </si>
  <si>
    <t>2021-04-18</t>
  </si>
  <si>
    <t>.810</t>
  </si>
  <si>
    <t>2021-04-20</t>
  </si>
  <si>
    <t>.396</t>
  </si>
  <si>
    <t>.317</t>
  </si>
  <si>
    <t>.433</t>
  </si>
  <si>
    <t>.383</t>
  </si>
  <si>
    <t>2021-04-23</t>
  </si>
  <si>
    <t>.430</t>
  </si>
  <si>
    <t>.688</t>
  </si>
  <si>
    <t>2021-04-25</t>
  </si>
  <si>
    <t>.840</t>
  </si>
  <si>
    <t>2021-04-27</t>
  </si>
  <si>
    <t>2021-04-29</t>
  </si>
  <si>
    <t>.343</t>
  </si>
  <si>
    <t>.282</t>
  </si>
  <si>
    <t>.516</t>
  </si>
  <si>
    <t>.490</t>
  </si>
  <si>
    <t>2021-05-04</t>
  </si>
  <si>
    <t>.449</t>
  </si>
  <si>
    <t>.815</t>
  </si>
  <si>
    <t>2021-05-06</t>
  </si>
  <si>
    <t>.351</t>
  </si>
  <si>
    <t>.441</t>
  </si>
  <si>
    <t>.692</t>
  </si>
  <si>
    <t>.341</t>
  </si>
  <si>
    <t>.760</t>
  </si>
  <si>
    <t>.409</t>
  </si>
  <si>
    <t>2021-05-12</t>
  </si>
  <si>
    <t>.741</t>
  </si>
  <si>
    <t>.258</t>
  </si>
  <si>
    <t>2021-05-15</t>
  </si>
  <si>
    <t>.600</t>
  </si>
  <si>
    <t>.347</t>
  </si>
  <si>
    <t>.677</t>
  </si>
  <si>
    <t>.774</t>
  </si>
  <si>
    <t>.350</t>
  </si>
  <si>
    <t>138</t>
  </si>
  <si>
    <t>.487</t>
  </si>
  <si>
    <t>.556</t>
  </si>
  <si>
    <t>.371</t>
  </si>
  <si>
    <t>.171</t>
  </si>
  <si>
    <t>.643</t>
  </si>
  <si>
    <t>.467</t>
  </si>
  <si>
    <t>.348</t>
  </si>
  <si>
    <t>.561</t>
  </si>
  <si>
    <t>.424</t>
  </si>
  <si>
    <t>.382</t>
  </si>
  <si>
    <t>.461</t>
  </si>
  <si>
    <t>.411</t>
  </si>
  <si>
    <t>.273</t>
  </si>
  <si>
    <t>.619</t>
  </si>
  <si>
    <t>102</t>
  </si>
  <si>
    <t>.293</t>
  </si>
  <si>
    <t>.696</t>
  </si>
  <si>
    <t>.392</t>
  </si>
  <si>
    <t>.495</t>
  </si>
  <si>
    <t>.323</t>
  </si>
  <si>
    <t>2021-01-15</t>
  </si>
  <si>
    <t>.731</t>
  </si>
  <si>
    <t>2021-01-21</t>
  </si>
  <si>
    <t>.466</t>
  </si>
  <si>
    <t>.321</t>
  </si>
  <si>
    <t>.456</t>
  </si>
  <si>
    <t>.211</t>
  </si>
  <si>
    <t>.806</t>
  </si>
  <si>
    <t>.640</t>
  </si>
  <si>
    <t>.360</t>
  </si>
  <si>
    <t>2021-01-28</t>
  </si>
  <si>
    <t>2021-01-30</t>
  </si>
  <si>
    <t>.286</t>
  </si>
  <si>
    <t>2021-02-01</t>
  </si>
  <si>
    <t>.474</t>
  </si>
  <si>
    <t>.379</t>
  </si>
  <si>
    <t>.824</t>
  </si>
  <si>
    <t>2021-02-04</t>
  </si>
  <si>
    <t>.381</t>
  </si>
  <si>
    <t>.821</t>
  </si>
  <si>
    <t>2021-02-08</t>
  </si>
  <si>
    <t>.237</t>
  </si>
  <si>
    <t>.316</t>
  </si>
  <si>
    <t>.226</t>
  </si>
  <si>
    <t>2021-02-12</t>
  </si>
  <si>
    <t>.697</t>
  </si>
  <si>
    <t>2021-02-14</t>
  </si>
  <si>
    <t>.214</t>
  </si>
  <si>
    <t>.423</t>
  </si>
  <si>
    <t>BRK</t>
  </si>
  <si>
    <t>2021-02-20</t>
  </si>
  <si>
    <t>2021-02-22</t>
  </si>
  <si>
    <t>2021-02-24</t>
  </si>
  <si>
    <t>.242</t>
  </si>
  <si>
    <t>.458</t>
  </si>
  <si>
    <t>2021-02-26</t>
  </si>
  <si>
    <t>.420</t>
  </si>
  <si>
    <t>.259</t>
  </si>
  <si>
    <t>.386</t>
  </si>
  <si>
    <t>.297</t>
  </si>
  <si>
    <t>2021-02-28</t>
  </si>
  <si>
    <t>.235</t>
  </si>
  <si>
    <t>2021-03-02</t>
  </si>
  <si>
    <t>.552</t>
  </si>
  <si>
    <t>.527</t>
  </si>
  <si>
    <t>.480</t>
  </si>
  <si>
    <t>2021-03-12</t>
  </si>
  <si>
    <t>.628</t>
  </si>
  <si>
    <t>2021-03-16</t>
  </si>
  <si>
    <t>137</t>
  </si>
  <si>
    <t>.575</t>
  </si>
  <si>
    <t>.522</t>
  </si>
  <si>
    <t>.314</t>
  </si>
  <si>
    <t>2021-03-18</t>
  </si>
  <si>
    <t>2021-03-20</t>
  </si>
  <si>
    <t>.398</t>
  </si>
  <si>
    <t>.679</t>
  </si>
  <si>
    <t>.923</t>
  </si>
  <si>
    <t>2021-03-25</t>
  </si>
  <si>
    <t>.436</t>
  </si>
  <si>
    <t>.231</t>
  </si>
  <si>
    <t>.720</t>
  </si>
  <si>
    <t>.192</t>
  </si>
  <si>
    <t>2021-03-28</t>
  </si>
  <si>
    <t>.275</t>
  </si>
  <si>
    <t>.278</t>
  </si>
  <si>
    <t>2021-04-02</t>
  </si>
  <si>
    <t>.515</t>
  </si>
  <si>
    <t>2021-04-06</t>
  </si>
  <si>
    <t>.450</t>
  </si>
  <si>
    <t>.152</t>
  </si>
  <si>
    <t>2021-04-08</t>
  </si>
  <si>
    <t>2021-04-12</t>
  </si>
  <si>
    <t>.944</t>
  </si>
  <si>
    <t>.434</t>
  </si>
  <si>
    <t>.257</t>
  </si>
  <si>
    <t>2021-04-15</t>
  </si>
  <si>
    <t>.565</t>
  </si>
  <si>
    <t>2021-04-17</t>
  </si>
  <si>
    <t>.870</t>
  </si>
  <si>
    <t>.416</t>
  </si>
  <si>
    <t>.390</t>
  </si>
  <si>
    <t>2021-04-19</t>
  </si>
  <si>
    <t>75</t>
  </si>
  <si>
    <t>.909</t>
  </si>
  <si>
    <t>2021-04-22</t>
  </si>
  <si>
    <t>.375</t>
  </si>
  <si>
    <t>2021-04-24</t>
  </si>
  <si>
    <t>2021-04-26</t>
  </si>
  <si>
    <t>2021-04-28</t>
  </si>
  <si>
    <t>.762</t>
  </si>
  <si>
    <t>2021-05-03</t>
  </si>
  <si>
    <t>.439</t>
  </si>
  <si>
    <t>.885</t>
  </si>
  <si>
    <t>2021-05-07</t>
  </si>
  <si>
    <t>2021-05-09</t>
  </si>
  <si>
    <t>.780</t>
  </si>
  <si>
    <t>.534</t>
  </si>
  <si>
    <t>.571</t>
  </si>
  <si>
    <t>.591</t>
  </si>
  <si>
    <t>St Dev</t>
    <phoneticPr fontId="1" type="noConversion"/>
  </si>
  <si>
    <t>TeamRanking</t>
    <phoneticPr fontId="1" type="noConversion"/>
  </si>
  <si>
    <t>Point spread</t>
    <phoneticPr fontId="1" type="noConversion"/>
  </si>
  <si>
    <t>OU</t>
    <phoneticPr fontId="1" type="noConversion"/>
  </si>
  <si>
    <t>project score</t>
    <phoneticPr fontId="1" type="noConversion"/>
  </si>
  <si>
    <t>Away</t>
    <phoneticPr fontId="1" type="noConversion"/>
  </si>
  <si>
    <t>Home</t>
    <phoneticPr fontId="1" type="noConversion"/>
  </si>
  <si>
    <t>winner</t>
    <phoneticPr fontId="1" type="noConversion"/>
  </si>
  <si>
    <t>away spread</t>
    <phoneticPr fontId="1" type="noConversion"/>
  </si>
  <si>
    <t>home spread</t>
    <phoneticPr fontId="1" type="noConversion"/>
  </si>
  <si>
    <t>Wins</t>
    <phoneticPr fontId="1" type="noConversion"/>
  </si>
  <si>
    <t>win pct</t>
  </si>
  <si>
    <t>win spread</t>
    <phoneticPr fontId="1" type="noConversion"/>
  </si>
  <si>
    <t>win spread %</t>
    <phoneticPr fontId="1" type="noConversion"/>
  </si>
  <si>
    <t>Opponent</t>
  </si>
  <si>
    <t/>
  </si>
  <si>
    <t>FG</t>
  </si>
  <si>
    <t>FGA</t>
  </si>
  <si>
    <t>FG%</t>
  </si>
  <si>
    <t>3P</t>
  </si>
  <si>
    <t>3PA</t>
  </si>
  <si>
    <t>3P%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</si>
  <si>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</si>
  <si>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</si>
  <si>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</si>
  <si>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</si>
  <si>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</si>
  <si>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</si>
  <si>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</si>
  <si>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</si>
  <si>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</si>
  <si>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</si>
  <si>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Over</t>
    <phoneticPr fontId="1" type="noConversion"/>
  </si>
  <si>
    <t>Under</t>
    <phoneticPr fontId="1" type="noConversion"/>
  </si>
  <si>
    <t>High</t>
    <phoneticPr fontId="1" type="noConversion"/>
  </si>
  <si>
    <t>Low</t>
    <phoneticPr fontId="1" type="noConversion"/>
  </si>
  <si>
    <t>输赢</t>
    <phoneticPr fontId="1" type="noConversion"/>
  </si>
  <si>
    <t>场次</t>
    <phoneticPr fontId="1" type="noConversion"/>
  </si>
  <si>
    <t>湖人</t>
    <phoneticPr fontId="1" type="noConversion"/>
  </si>
  <si>
    <t>篮网</t>
    <phoneticPr fontId="1" type="noConversion"/>
  </si>
  <si>
    <t>Brooklyn</t>
    <phoneticPr fontId="1" type="noConversion"/>
  </si>
  <si>
    <t>LA Lakers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</si>
</sst>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double">
        <color theme="9"/>
      </top>
      <bottom style="thin">
        <color theme="9" tint="0.3999755851924192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2" fillId="0" borderId="2" xfId="0" applyNumberFormat="1" applyFont="1" applyBorder="1"/>
    <xf numFmtId="176" fontId="0" fillId="0" borderId="0" xfId="0" applyNumberFormat="1"/>
    <xf numFmtId="9" fontId="0" fillId="0" borderId="0" xfId="1" applyFont="1" applyAlignment="1"/>
    <xf numFmtId="9" fontId="0" fillId="0" borderId="0" xfId="0" applyNumberFormat="1"/>
  </cellXfs>
  <cellStyles count="2">
    <cellStyle name="百分比" xfId="1" builtinId="5"/>
    <cellStyle name="常规" xfId="0" builtinId="0"/>
  </cellStyles>
  <dxfs count="1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6" formatCode="0.00_ "/>
    </dxf>
    <dxf>
      <numFmt numFmtId="176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pattFill prst="ltUpDiag">
                <a:fgClr>
                  <a:schemeClr val="accent2">
                    <a:shade val="76000"/>
                  </a:schemeClr>
                </a:fgClr>
                <a:bgClr>
                  <a:schemeClr val="accent2">
                    <a:shade val="76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shade val="76000"/>
                  </a:schemeClr>
                </a:innerShdw>
              </a:effectLst>
            </c:spPr>
          </c:dPt>
          <c:dPt>
            <c:idx val="1"/>
            <c:bubble3D val="0"/>
            <c:spPr>
              <a:pattFill prst="ltUpDiag">
                <a:fgClr>
                  <a:schemeClr val="accent2">
                    <a:tint val="77000"/>
                  </a:schemeClr>
                </a:fgClr>
                <a:bgClr>
                  <a:schemeClr val="accent2">
                    <a:tint val="77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tint val="77000"/>
                  </a:schemeClr>
                </a:inn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最终结果!$G$16:$G$17</c:f>
              <c:strCache>
                <c:ptCount val="2"/>
                <c:pt idx="0">
                  <c:v>湖人</c:v>
                </c:pt>
                <c:pt idx="1">
                  <c:v>篮网</c:v>
                </c:pt>
              </c:strCache>
            </c:strRef>
          </c:cat>
          <c:val>
            <c:numRef>
              <c:f>最终结果!$H$16:$H$17</c:f>
              <c:numCache>
                <c:formatCode>0%</c:formatCode>
                <c:ptCount val="2"/>
                <c:pt idx="0">
                  <c:v>0.57999999999999996</c:v>
                </c:pt>
                <c:pt idx="1">
                  <c:v>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B-476D-A7F8-3A0DDBBE276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12</xdr:row>
      <xdr:rowOff>53340</xdr:rowOff>
    </xdr:from>
    <xdr:to>
      <xdr:col>11</xdr:col>
      <xdr:colOff>190500</xdr:colOff>
      <xdr:row>27</xdr:row>
      <xdr:rowOff>167640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D5F3939-F379-4DD8-BA5E-66A961D35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B29975A-790E-4D13-A463-DA2F6F864F8A}" autoFormatId="16" applyNumberFormats="0" applyBorderFormats="0" applyFontFormats="0" applyPatternFormats="0" applyAlignmentFormats="0" applyWidthHeightFormats="0">
  <queryTableRefresh nextId="9">
    <queryTableFields count="8">
      <queryTableField id="1" name="Rank" tableColumnId="1"/>
      <queryTableField id="2" name="Team" tableColumnId="2"/>
      <queryTableField id="3" name="2021" tableColumnId="3"/>
      <queryTableField id="4" name="Last 3" tableColumnId="4"/>
      <queryTableField id="5" name="Last 1" tableColumnId="5"/>
      <queryTableField id="6" name="Home" tableColumnId="6"/>
      <queryTableField id="7" name="Away" tableColumnId="7"/>
      <queryTableField id="8" name="202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D64F77D-CBD8-418D-902E-9F12244B7F7A}" autoFormatId="16" applyNumberFormats="0" applyBorderFormats="0" applyFontFormats="0" applyPatternFormats="0" applyAlignmentFormats="0" applyWidthHeightFormats="0">
  <queryTableRefresh nextId="9">
    <queryTableFields count="8">
      <queryTableField id="1" name="Rank" tableColumnId="1"/>
      <queryTableField id="2" name="Team" tableColumnId="2"/>
      <queryTableField id="3" name="2021" tableColumnId="3"/>
      <queryTableField id="4" name="Last 3" tableColumnId="4"/>
      <queryTableField id="5" name="Last 1" tableColumnId="5"/>
      <queryTableField id="6" name="Home" tableColumnId="6"/>
      <queryTableField id="7" name="Away" tableColumnId="7"/>
      <queryTableField id="8" name="202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D6FB096-D388-48DC-9711-CBCBB944F178}" autoFormatId="16" applyNumberFormats="0" applyBorderFormats="0" applyFontFormats="0" applyPatternFormats="0" applyAlignmentFormats="0" applyWidthHeightFormats="0">
  <queryTableRefresh nextId="42">
    <queryTableFields count="41">
      <queryTableField id="1" name="Rk" tableColumnId="1"/>
      <queryTableField id="2" name="G" tableColumnId="2"/>
      <queryTableField id="3" name="Date" tableColumnId="3"/>
      <queryTableField id="4" name="Column1" tableColumnId="4"/>
      <queryTableField id="5" name="Opp" tableColumnId="5"/>
      <queryTableField id="6" name="W/L" tableColumnId="6"/>
      <queryTableField id="7" name="Tm" tableColumnId="7"/>
      <queryTableField id="8" name="Opp2" tableColumnId="8"/>
      <queryTableField id="9" name="Team FG" tableColumnId="9"/>
      <queryTableField id="10" name="Team FGA" tableColumnId="10"/>
      <queryTableField id="11" name="Team FG%" tableColumnId="11"/>
      <queryTableField id="12" name="Team 3P" tableColumnId="12"/>
      <queryTableField id="13" name="Team 3PA" tableColumnId="13"/>
      <queryTableField id="14" name="Team 3P%" tableColumnId="14"/>
      <queryTableField id="15" name="Team FT" tableColumnId="15"/>
      <queryTableField id="16" name="Team FTA" tableColumnId="16"/>
      <queryTableField id="17" name="Team FT%" tableColumnId="17"/>
      <queryTableField id="18" name="Team ORB" tableColumnId="18"/>
      <queryTableField id="19" name="Team TRB" tableColumnId="19"/>
      <queryTableField id="20" name="Team AST" tableColumnId="20"/>
      <queryTableField id="21" name="Team STL" tableColumnId="21"/>
      <queryTableField id="22" name="Team BLK" tableColumnId="22"/>
      <queryTableField id="23" name="Team TOV" tableColumnId="23"/>
      <queryTableField id="24" name="Team PF" tableColumnId="24"/>
      <queryTableField id="25" name="2" tableColumnId="25"/>
      <queryTableField id="26" name="Opponent FG" tableColumnId="26"/>
      <queryTableField id="27" name="Opponent FGA" tableColumnId="27"/>
      <queryTableField id="28" name="Opponent FG%" tableColumnId="28"/>
      <queryTableField id="29" name="Opponent 3P" tableColumnId="29"/>
      <queryTableField id="30" name="Opponent 3PA" tableColumnId="30"/>
      <queryTableField id="31" name="Opponent 3P%" tableColumnId="31"/>
      <queryTableField id="32" name="Opponent FT" tableColumnId="32"/>
      <queryTableField id="33" name="Opponent FTA" tableColumnId="33"/>
      <queryTableField id="34" name="Opponent FT%" tableColumnId="34"/>
      <queryTableField id="35" name="Opponent ORB" tableColumnId="35"/>
      <queryTableField id="36" name="Opponent TRB" tableColumnId="36"/>
      <queryTableField id="37" name="Opponent AST" tableColumnId="37"/>
      <queryTableField id="38" name="Opponent STL" tableColumnId="38"/>
      <queryTableField id="39" name="Opponent BLK" tableColumnId="39"/>
      <queryTableField id="40" name="Opponent TOV" tableColumnId="40"/>
      <queryTableField id="41" name="Opponent PF" tableColumnId="4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E716CB8-FF6D-4205-8B12-E539987AFF9A}" autoFormatId="16" applyNumberFormats="0" applyBorderFormats="0" applyFontFormats="0" applyPatternFormats="0" applyAlignmentFormats="0" applyWidthHeightFormats="0">
  <queryTableRefresh nextId="42">
    <queryTableFields count="41">
      <queryTableField id="1" name="Rk" tableColumnId="1"/>
      <queryTableField id="2" name="G" tableColumnId="2"/>
      <queryTableField id="3" name="Date" tableColumnId="3"/>
      <queryTableField id="4" name="Column1" tableColumnId="4"/>
      <queryTableField id="5" name="Opp" tableColumnId="5"/>
      <queryTableField id="6" name="W/L" tableColumnId="6"/>
      <queryTableField id="7" name="Tm" tableColumnId="7"/>
      <queryTableField id="8" name="Opp2" tableColumnId="8"/>
      <queryTableField id="9" name="Team FG" tableColumnId="9"/>
      <queryTableField id="10" name="Team FGA" tableColumnId="10"/>
      <queryTableField id="11" name="Team FG%" tableColumnId="11"/>
      <queryTableField id="12" name="Team 3P" tableColumnId="12"/>
      <queryTableField id="13" name="Team 3PA" tableColumnId="13"/>
      <queryTableField id="14" name="Team 3P%" tableColumnId="14"/>
      <queryTableField id="15" name="Team FT" tableColumnId="15"/>
      <queryTableField id="16" name="Team FTA" tableColumnId="16"/>
      <queryTableField id="17" name="Team FT%" tableColumnId="17"/>
      <queryTableField id="18" name="Team ORB" tableColumnId="18"/>
      <queryTableField id="19" name="Team TRB" tableColumnId="19"/>
      <queryTableField id="20" name="Team AST" tableColumnId="20"/>
      <queryTableField id="21" name="Team STL" tableColumnId="21"/>
      <queryTableField id="22" name="Team BLK" tableColumnId="22"/>
      <queryTableField id="23" name="Team TOV" tableColumnId="23"/>
      <queryTableField id="24" name="Team PF" tableColumnId="24"/>
      <queryTableField id="25" name="2" tableColumnId="25"/>
      <queryTableField id="26" name="Opponent FG" tableColumnId="26"/>
      <queryTableField id="27" name="Opponent FGA" tableColumnId="27"/>
      <queryTableField id="28" name="Opponent FG%" tableColumnId="28"/>
      <queryTableField id="29" name="Opponent 3P" tableColumnId="29"/>
      <queryTableField id="30" name="Opponent 3PA" tableColumnId="30"/>
      <queryTableField id="31" name="Opponent 3P%" tableColumnId="31"/>
      <queryTableField id="32" name="Opponent FT" tableColumnId="32"/>
      <queryTableField id="33" name="Opponent FTA" tableColumnId="33"/>
      <queryTableField id="34" name="Opponent FT%" tableColumnId="34"/>
      <queryTableField id="35" name="Opponent ORB" tableColumnId="35"/>
      <queryTableField id="36" name="Opponent TRB" tableColumnId="36"/>
      <queryTableField id="37" name="Opponent AST" tableColumnId="37"/>
      <queryTableField id="38" name="Opponent STL" tableColumnId="38"/>
      <queryTableField id="39" name="Opponent BLK" tableColumnId="39"/>
      <queryTableField id="40" name="Opponent TOV" tableColumnId="40"/>
      <queryTableField id="41" name="Opponent PF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977CA1-BF12-48DE-9E1F-6564AA0BA203}" name="Table_0" displayName="Table_0" ref="A1:H31" tableType="queryTable" totalsRowShown="0">
  <autoFilter ref="A1:H31" xr:uid="{BD977CA1-BF12-48DE-9E1F-6564AA0BA203}"/>
  <tableColumns count="8">
    <tableColumn id="1" xr3:uid="{FA4C41F0-9E71-4D1E-9C39-0C2D3BDEB1C2}" uniqueName="1" name="Rank" queryTableFieldId="1"/>
    <tableColumn id="2" xr3:uid="{ACA250DA-AE1A-45D5-AFDF-68F74ED10E18}" uniqueName="2" name="Team" queryTableFieldId="2" dataDxfId="123"/>
    <tableColumn id="3" xr3:uid="{738FBC80-D7FD-4EF1-9D6E-E2CFAA8DCAAE}" uniqueName="3" name="2021" queryTableFieldId="3"/>
    <tableColumn id="4" xr3:uid="{ADE78766-2DEE-4D3C-AF59-C6F42314EB42}" uniqueName="4" name="Last 3" queryTableFieldId="4"/>
    <tableColumn id="5" xr3:uid="{6EC6A988-F9D7-4039-BE41-6A3E60FA35B0}" uniqueName="5" name="Last 1" queryTableFieldId="5"/>
    <tableColumn id="6" xr3:uid="{E08B5058-C73D-4E3A-99F1-16F01C65C78B}" uniqueName="6" name="Home" queryTableFieldId="6"/>
    <tableColumn id="7" xr3:uid="{9ED13921-F783-4285-B6BC-C4467963293A}" uniqueName="7" name="Away" queryTableFieldId="7"/>
    <tableColumn id="8" xr3:uid="{BAC29E10-7682-4A75-BF64-9A912ECFE50E}" uniqueName="8" name="2020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C389C5-BEA4-45D0-8FED-5F7EF5F10623}" name="Table_0__2" displayName="Table_0__2" ref="A1:H31" tableType="queryTable" totalsRowShown="0">
  <autoFilter ref="A1:H31" xr:uid="{9CC389C5-BEA4-45D0-8FED-5F7EF5F10623}"/>
  <tableColumns count="8">
    <tableColumn id="1" xr3:uid="{5D404EC5-E28F-491A-8CDB-5F3BD1593439}" uniqueName="1" name="Rank" queryTableFieldId="1"/>
    <tableColumn id="2" xr3:uid="{0EA2E9BF-92E9-4D80-B422-E16FC1F4AFCA}" uniqueName="2" name="Team" queryTableFieldId="2" dataDxfId="122"/>
    <tableColumn id="3" xr3:uid="{C9B6E73C-7C24-441B-ADA9-2C477FB37195}" uniqueName="3" name="2021" queryTableFieldId="3"/>
    <tableColumn id="4" xr3:uid="{5AEB88DF-8764-4CA8-9664-ECCC2BAD332C}" uniqueName="4" name="Last 3" queryTableFieldId="4"/>
    <tableColumn id="5" xr3:uid="{FB07686B-F73A-4CF5-88BF-551B23A2CAC6}" uniqueName="5" name="Last 1" queryTableFieldId="5"/>
    <tableColumn id="6" xr3:uid="{2F868417-1FCB-4696-9D5C-2259504697D3}" uniqueName="6" name="Home" queryTableFieldId="6"/>
    <tableColumn id="7" xr3:uid="{B64DAE20-A77E-442B-B816-989C0DE659D2}" uniqueName="7" name="Away" queryTableFieldId="7"/>
    <tableColumn id="8" xr3:uid="{1EFBB1AD-1C0C-4DDD-8F3A-4487812FA00F}" uniqueName="8" name="2020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B857C7-C42D-4D7C-8886-F2F0F5163257}" name="Regular_Season_Table__2" displayName="Regular_Season_Table__2" ref="A1:AO80" tableType="queryTable" totalsRowCount="1">
  <autoFilter ref="A1:AO79" xr:uid="{42B857C7-C42D-4D7C-8886-F2F0F5163257}"/>
  <tableColumns count="41">
    <tableColumn id="1" xr3:uid="{95D47C08-9AEF-4815-A8A7-31D78F137EAE}" uniqueName="1" name="Rk" queryTableFieldId="1" dataDxfId="121" totalsRowDxfId="120"/>
    <tableColumn id="2" xr3:uid="{181B3815-4FC6-4692-B32E-6C0B1E494339}" uniqueName="2" name="G" queryTableFieldId="2" dataDxfId="119" totalsRowDxfId="118"/>
    <tableColumn id="3" xr3:uid="{94AF97E3-FEB8-42A9-B65B-9392F5262A39}" uniqueName="3" name="Date" queryTableFieldId="3" dataDxfId="117"/>
    <tableColumn id="4" xr3:uid="{5D60384D-50FF-4BF7-AAE5-132062172D13}" uniqueName="4" name="Column1" queryTableFieldId="4" dataDxfId="116" totalsRowDxfId="115"/>
    <tableColumn id="5" xr3:uid="{C0BA8FB1-3F0A-43C1-B512-9BD5E3C5F947}" uniqueName="5" name="Opp" queryTableFieldId="5" dataDxfId="114" totalsRowDxfId="113"/>
    <tableColumn id="6" xr3:uid="{F74CC60B-D0D2-4DEF-B005-434390C42B76}" uniqueName="6" name="W/L" queryTableFieldId="6" dataDxfId="112" totalsRowDxfId="111"/>
    <tableColumn id="7" xr3:uid="{75E11600-739D-4ECE-ABFF-F402AC39F745}" uniqueName="7" name="Tm" queryTableFieldId="7" dataDxfId="110" totalsRowDxfId="109"/>
    <tableColumn id="8" xr3:uid="{BD836729-A636-422A-A945-6A1C276AB324}" uniqueName="8" name="Opp2" queryTableFieldId="8" dataDxfId="108" totalsRowDxfId="107"/>
    <tableColumn id="9" xr3:uid="{B6F37C04-870A-4E53-802D-06DF1A387BC7}" uniqueName="9" name="Team FG" queryTableFieldId="9" dataDxfId="106" totalsRowDxfId="105"/>
    <tableColumn id="10" xr3:uid="{3ECB6EB0-84C8-4A50-9FA4-4D3DE0CA0BEE}" uniqueName="10" name="Team FGA" queryTableFieldId="10" dataDxfId="104" totalsRowDxfId="103"/>
    <tableColumn id="11" xr3:uid="{B744F628-D9B2-42A8-A67B-EA229CDD0EA8}" uniqueName="11" name="Team FG%" queryTableFieldId="11" dataDxfId="102" totalsRowDxfId="101"/>
    <tableColumn id="12" xr3:uid="{545C7D1D-EE22-46AE-8C25-642B15C145BF}" uniqueName="12" name="Team 3P" queryTableFieldId="12" dataDxfId="100" totalsRowDxfId="99"/>
    <tableColumn id="13" xr3:uid="{FE8C972C-ED7D-4867-9369-19362CA5BD38}" uniqueName="13" name="Team 3PA" queryTableFieldId="13" dataDxfId="98" totalsRowDxfId="97"/>
    <tableColumn id="14" xr3:uid="{29CEB814-C30C-42CE-95E7-7FFDF1AC7910}" uniqueName="14" name="Team 3P%" queryTableFieldId="14" dataDxfId="96" totalsRowDxfId="95"/>
    <tableColumn id="15" xr3:uid="{DD25AB08-6A8A-48A5-92F4-3EE475FFADB1}" uniqueName="15" name="Team FT" queryTableFieldId="15" dataDxfId="94" totalsRowDxfId="93"/>
    <tableColumn id="16" xr3:uid="{E4AB72AC-184C-4E22-AFA1-56B840F9A4B4}" uniqueName="16" name="Team FTA" queryTableFieldId="16" dataDxfId="92" totalsRowDxfId="91"/>
    <tableColumn id="17" xr3:uid="{0D70B087-790F-4838-AA19-B9B7573D6333}" uniqueName="17" name="Team FT%" queryTableFieldId="17" dataDxfId="90" totalsRowDxfId="89"/>
    <tableColumn id="18" xr3:uid="{1E625854-C09C-4412-A4E7-84C2E99E9B24}" uniqueName="18" name="Team ORB" queryTableFieldId="18" dataDxfId="88" totalsRowDxfId="87"/>
    <tableColumn id="19" xr3:uid="{C519D405-86F8-418D-9F5B-116862AE8196}" uniqueName="19" name="Team TRB" queryTableFieldId="19" dataDxfId="86" totalsRowDxfId="85"/>
    <tableColumn id="20" xr3:uid="{16C5E959-E70C-4D91-8FAA-6C91CD0F471A}" uniqueName="20" name="Team AST" queryTableFieldId="20" dataDxfId="84" totalsRowDxfId="83"/>
    <tableColumn id="21" xr3:uid="{6D9174FD-A6D4-43EB-BE4B-8074AA2A7979}" uniqueName="21" name="Team STL" queryTableFieldId="21" dataDxfId="82" totalsRowDxfId="81"/>
    <tableColumn id="22" xr3:uid="{9AF8FDEB-B70C-4088-A0F5-2F8288B00F22}" uniqueName="22" name="Team BLK" queryTableFieldId="22" dataDxfId="80" totalsRowDxfId="79"/>
    <tableColumn id="23" xr3:uid="{F7D85493-8749-44DE-8154-F2F76F9EF05E}" uniqueName="23" name="Team TOV" queryTableFieldId="23" dataDxfId="78" totalsRowDxfId="77"/>
    <tableColumn id="24" xr3:uid="{3B7F5DFC-989D-4DF0-9C6A-CAFB6278546F}" uniqueName="24" name="Team PF" queryTableFieldId="24" dataDxfId="76" totalsRowDxfId="75"/>
    <tableColumn id="25" xr3:uid="{05D54CF9-3984-4FBC-8BB9-6BA1A22B6231}" uniqueName="25" name="2" queryTableFieldId="25" dataDxfId="74" totalsRowDxfId="73"/>
    <tableColumn id="26" xr3:uid="{B04D5823-AC96-4299-821B-2F89A0780E4A}" uniqueName="26" name="Opponent FG" queryTableFieldId="26" dataDxfId="72" totalsRowDxfId="71"/>
    <tableColumn id="27" xr3:uid="{647F5EC5-0C2D-45B5-B792-977950C98597}" uniqueName="27" name="Opponent FGA" queryTableFieldId="27" dataDxfId="70" totalsRowDxfId="69"/>
    <tableColumn id="28" xr3:uid="{FBEB455D-47C4-4E71-B7C0-F9A029366807}" uniqueName="28" name="Opponent FG%" queryTableFieldId="28" dataDxfId="68" totalsRowDxfId="67"/>
    <tableColumn id="29" xr3:uid="{805B1978-A1A4-48C8-8CC7-665F1B3063B7}" uniqueName="29" name="Opponent 3P" queryTableFieldId="29" dataDxfId="66" totalsRowDxfId="65"/>
    <tableColumn id="30" xr3:uid="{B1EFF0CE-A923-407A-9511-F29B57103048}" uniqueName="30" name="Opponent 3PA" queryTableFieldId="30" dataDxfId="64" totalsRowDxfId="63"/>
    <tableColumn id="31" xr3:uid="{2194F11F-6972-4B1C-98CD-2AD1441A2DEA}" uniqueName="31" name="Opponent 3P%" queryTableFieldId="31" dataDxfId="62" totalsRowDxfId="61"/>
    <tableColumn id="32" xr3:uid="{0D0D0289-B85C-4FC7-A124-09EBAE41F526}" uniqueName="32" name="Opponent FT" queryTableFieldId="32" dataDxfId="60" totalsRowDxfId="59"/>
    <tableColumn id="33" xr3:uid="{1B17D8B6-F7E1-4757-981C-27080D53024A}" uniqueName="33" name="Opponent FTA" queryTableFieldId="33" dataDxfId="58" totalsRowDxfId="57"/>
    <tableColumn id="34" xr3:uid="{D96512D2-1093-46F5-A495-BD41197107ED}" uniqueName="34" name="Opponent FT%" queryTableFieldId="34" dataDxfId="56" totalsRowDxfId="55"/>
    <tableColumn id="35" xr3:uid="{340A5DCB-5A50-4FFF-B032-B8949D61CCDE}" uniqueName="35" name="Opponent ORB" queryTableFieldId="35" dataDxfId="54" totalsRowDxfId="53"/>
    <tableColumn id="36" xr3:uid="{7E3E34AF-D198-4F1B-95D3-18E015994884}" uniqueName="36" name="Opponent TRB" queryTableFieldId="36" dataDxfId="52" totalsRowDxfId="51"/>
    <tableColumn id="37" xr3:uid="{08B2CCFE-05E8-487F-9FD9-AD611E4F3590}" uniqueName="37" name="Opponent AST" queryTableFieldId="37" dataDxfId="50" totalsRowDxfId="49"/>
    <tableColumn id="38" xr3:uid="{8B83A28B-13EA-4326-B19B-F622C06825BC}" uniqueName="38" name="Opponent STL" queryTableFieldId="38" dataDxfId="48" totalsRowDxfId="47"/>
    <tableColumn id="39" xr3:uid="{81B49FB2-122D-4E76-9B12-7A6155F461C8}" uniqueName="39" name="Opponent BLK" queryTableFieldId="39" dataDxfId="46" totalsRowDxfId="45"/>
    <tableColumn id="40" xr3:uid="{FF2ACB66-9CE6-4911-A304-A7A0FB5960C5}" uniqueName="40" name="Opponent TOV" queryTableFieldId="40" dataDxfId="44" totalsRowDxfId="43"/>
    <tableColumn id="41" xr3:uid="{1AFFA2FB-A36E-4F22-B094-0845072AE953}" uniqueName="41" name="Opponent PF" queryTableFieldId="41" dataDxfId="42" totalsRowDxfId="4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7D15AA-9947-4A10-8115-E6096AFCF08D}" name="Regular_Season_Table__3" displayName="Regular_Season_Table__3" ref="A1:AO79" tableType="queryTable" totalsRowShown="0">
  <autoFilter ref="A1:AO79" xr:uid="{AC7D15AA-9947-4A10-8115-E6096AFCF08D}"/>
  <tableColumns count="41">
    <tableColumn id="1" xr3:uid="{EBCDD473-720D-41FE-99A8-25A55F812E8C}" uniqueName="1" name="Rk" queryTableFieldId="1" dataDxfId="40"/>
    <tableColumn id="2" xr3:uid="{2EE10A50-C8C4-4336-ACE2-669CD51F8DAC}" uniqueName="2" name="G" queryTableFieldId="2" dataDxfId="39"/>
    <tableColumn id="3" xr3:uid="{B4146C31-B0F9-400E-8180-A64F17041B02}" uniqueName="3" name="Date" queryTableFieldId="3" dataDxfId="38"/>
    <tableColumn id="4" xr3:uid="{8302434F-286A-413E-AC7F-F92A0D631113}" uniqueName="4" name="Column1" queryTableFieldId="4" dataDxfId="37"/>
    <tableColumn id="5" xr3:uid="{698D451D-EC97-45C9-97FE-EE9D827575B1}" uniqueName="5" name="Opp" queryTableFieldId="5" dataDxfId="36"/>
    <tableColumn id="6" xr3:uid="{481DA31A-0AC7-4857-A334-D00DFB6CF282}" uniqueName="6" name="W/L" queryTableFieldId="6" dataDxfId="35"/>
    <tableColumn id="7" xr3:uid="{A6EF607A-7364-4BCF-A46E-CB4B24512B70}" uniqueName="7" name="Tm" queryTableFieldId="7" dataDxfId="34"/>
    <tableColumn id="8" xr3:uid="{DE3D4AFA-2AF2-4915-8773-08D7BE788BF9}" uniqueName="8" name="Opp2" queryTableFieldId="8" dataDxfId="33"/>
    <tableColumn id="9" xr3:uid="{91B0202B-57FD-485D-AD40-7F3240EBCFFB}" uniqueName="9" name="Team FG" queryTableFieldId="9" dataDxfId="32"/>
    <tableColumn id="10" xr3:uid="{E315FBAB-8EFD-4851-B7B9-96173BF83CC9}" uniqueName="10" name="Team FGA" queryTableFieldId="10" dataDxfId="31"/>
    <tableColumn id="11" xr3:uid="{CD96EAF5-3AA5-4F42-961E-260F7EA3E269}" uniqueName="11" name="Team FG%" queryTableFieldId="11" dataDxfId="30"/>
    <tableColumn id="12" xr3:uid="{D37DBBFA-FB27-4F2C-BC6F-F5E5B74E02EF}" uniqueName="12" name="Team 3P" queryTableFieldId="12" dataDxfId="29"/>
    <tableColumn id="13" xr3:uid="{83E0E0FA-1EA4-4BD6-BC97-15A5BEC0BAF0}" uniqueName="13" name="Team 3PA" queryTableFieldId="13" dataDxfId="28"/>
    <tableColumn id="14" xr3:uid="{3EFCF5D0-2F6D-4E86-9155-1D1020C5806E}" uniqueName="14" name="Team 3P%" queryTableFieldId="14" dataDxfId="27"/>
    <tableColumn id="15" xr3:uid="{FDEDD281-F772-4D95-A3B1-97AFA2BFF943}" uniqueName="15" name="Team FT" queryTableFieldId="15" dataDxfId="26"/>
    <tableColumn id="16" xr3:uid="{73037AB5-9003-4138-9B47-3C801F02DD99}" uniqueName="16" name="Team FTA" queryTableFieldId="16" dataDxfId="25"/>
    <tableColumn id="17" xr3:uid="{4B109ABD-385D-49DB-9894-1353264A9733}" uniqueName="17" name="Team FT%" queryTableFieldId="17" dataDxfId="24"/>
    <tableColumn id="18" xr3:uid="{5F3B5960-891F-4138-B4E9-5A8861F94756}" uniqueName="18" name="Team ORB" queryTableFieldId="18" dataDxfId="23"/>
    <tableColumn id="19" xr3:uid="{72B2C4AC-98C6-4F57-B040-CB14D220E0E4}" uniqueName="19" name="Team TRB" queryTableFieldId="19" dataDxfId="22"/>
    <tableColumn id="20" xr3:uid="{AE040760-54A5-4A77-8B68-67B67097CF4F}" uniqueName="20" name="Team AST" queryTableFieldId="20" dataDxfId="21"/>
    <tableColumn id="21" xr3:uid="{D9660931-0DB0-481B-B918-F6205D944B63}" uniqueName="21" name="Team STL" queryTableFieldId="21" dataDxfId="20"/>
    <tableColumn id="22" xr3:uid="{898A8A02-AA0D-434F-BC9D-C2E21583B11C}" uniqueName="22" name="Team BLK" queryTableFieldId="22" dataDxfId="19"/>
    <tableColumn id="23" xr3:uid="{10C12E6B-768A-4959-A5BF-B5BC1ABC23D5}" uniqueName="23" name="Team TOV" queryTableFieldId="23" dataDxfId="18"/>
    <tableColumn id="24" xr3:uid="{11D4CA04-8FC0-4F02-A6A5-F6944AA07274}" uniqueName="24" name="Team PF" queryTableFieldId="24" dataDxfId="17"/>
    <tableColumn id="25" xr3:uid="{FD104776-FF9B-4301-824C-4C35D106C5EC}" uniqueName="25" name="2" queryTableFieldId="25" dataDxfId="16"/>
    <tableColumn id="26" xr3:uid="{3868E44D-607F-45CF-AADC-E6F96EC001F0}" uniqueName="26" name="Opponent FG" queryTableFieldId="26" dataDxfId="15"/>
    <tableColumn id="27" xr3:uid="{616CA41B-7563-4195-B153-DA66D8DB3967}" uniqueName="27" name="Opponent FGA" queryTableFieldId="27" dataDxfId="14"/>
    <tableColumn id="28" xr3:uid="{A37F10DC-FC1B-4136-9108-106A0C90DE7E}" uniqueName="28" name="Opponent FG%" queryTableFieldId="28" dataDxfId="13"/>
    <tableColumn id="29" xr3:uid="{770135D4-6151-48FC-B6ED-2E7C8A21EC1D}" uniqueName="29" name="Opponent 3P" queryTableFieldId="29" dataDxfId="12"/>
    <tableColumn id="30" xr3:uid="{9A0976A9-FE95-483E-AFA4-1ADA65887C24}" uniqueName="30" name="Opponent 3PA" queryTableFieldId="30" dataDxfId="11"/>
    <tableColumn id="31" xr3:uid="{779E018F-3271-4E7D-A7FF-6F2D9EC168C4}" uniqueName="31" name="Opponent 3P%" queryTableFieldId="31" dataDxfId="10"/>
    <tableColumn id="32" xr3:uid="{2C672B5D-EE81-4BB3-A5CD-88F43B4C741B}" uniqueName="32" name="Opponent FT" queryTableFieldId="32" dataDxfId="9"/>
    <tableColumn id="33" xr3:uid="{42A77035-ED3F-490D-AAAB-184A1CED01BE}" uniqueName="33" name="Opponent FTA" queryTableFieldId="33" dataDxfId="8"/>
    <tableColumn id="34" xr3:uid="{E82D6456-2013-42A8-AA85-BA6722BC4B7C}" uniqueName="34" name="Opponent FT%" queryTableFieldId="34" dataDxfId="7"/>
    <tableColumn id="35" xr3:uid="{6BE70FAF-FC05-4E15-90A7-69D9B072A6ED}" uniqueName="35" name="Opponent ORB" queryTableFieldId="35" dataDxfId="6"/>
    <tableColumn id="36" xr3:uid="{2BF632A4-F81B-49DB-8AEF-525F03C638AA}" uniqueName="36" name="Opponent TRB" queryTableFieldId="36" dataDxfId="5"/>
    <tableColumn id="37" xr3:uid="{F6406F29-D43C-47B4-B022-71C53C7E80BB}" uniqueName="37" name="Opponent AST" queryTableFieldId="37" dataDxfId="4"/>
    <tableColumn id="38" xr3:uid="{A662AE4F-6213-4D62-9FB4-6B0D44F5B9DE}" uniqueName="38" name="Opponent STL" queryTableFieldId="38" dataDxfId="3"/>
    <tableColumn id="39" xr3:uid="{A83C9C54-5284-40CB-AC63-F7181F6C1F8D}" uniqueName="39" name="Opponent BLK" queryTableFieldId="39" dataDxfId="2"/>
    <tableColumn id="40" xr3:uid="{A475E235-764E-4970-B1CA-A7E38B7900AF}" uniqueName="40" name="Opponent TOV" queryTableFieldId="40" dataDxfId="1"/>
    <tableColumn id="41" xr3:uid="{9F7866E6-3958-4DBC-825A-6976969026E6}" uniqueName="41" name="Opponent PF" queryTableFieldId="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FD54-2C41-417F-AECF-0CA53280F411}">
  <dimension ref="A1:H31"/>
  <sheetViews>
    <sheetView workbookViewId="0">
      <selection activeCell="M11" sqref="M11"/>
    </sheetView>
  </sheetViews>
  <sheetFormatPr defaultRowHeight="13.8" x14ac:dyDescent="0.25"/>
  <cols>
    <col min="1" max="1" width="8.21875" bestFit="1" customWidth="1"/>
    <col min="2" max="2" width="12.77734375" bestFit="1" customWidth="1"/>
    <col min="3" max="3" width="8.21875" bestFit="1" customWidth="1"/>
    <col min="4" max="5" width="9.109375" bestFit="1" customWidth="1"/>
    <col min="6" max="6" width="9.33203125" bestFit="1" customWidth="1"/>
    <col min="7" max="7" width="8.6640625" bestFit="1" customWidth="1"/>
    <col min="8" max="8" width="8.21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>
        <v>114.7</v>
      </c>
      <c r="D2">
        <v>109</v>
      </c>
      <c r="E2">
        <v>92</v>
      </c>
      <c r="F2">
        <v>121.8</v>
      </c>
      <c r="G2">
        <v>109</v>
      </c>
      <c r="H2">
        <v>109.6</v>
      </c>
    </row>
    <row r="3" spans="1:8" x14ac:dyDescent="0.25">
      <c r="A3">
        <v>2</v>
      </c>
      <c r="B3" s="1" t="s">
        <v>9</v>
      </c>
      <c r="C3">
        <v>113</v>
      </c>
      <c r="D3">
        <v>108.3</v>
      </c>
      <c r="E3">
        <v>98</v>
      </c>
      <c r="F3">
        <v>114.5</v>
      </c>
      <c r="G3">
        <v>111.5</v>
      </c>
      <c r="H3">
        <v>106.4</v>
      </c>
    </row>
    <row r="4" spans="1:8" x14ac:dyDescent="0.25">
      <c r="A4">
        <v>3</v>
      </c>
      <c r="B4" s="1" t="s">
        <v>10</v>
      </c>
      <c r="C4">
        <v>112.8</v>
      </c>
      <c r="D4">
        <v>114</v>
      </c>
      <c r="E4">
        <v>116</v>
      </c>
      <c r="F4">
        <v>116</v>
      </c>
      <c r="G4">
        <v>110.8</v>
      </c>
      <c r="H4">
        <v>116.5</v>
      </c>
    </row>
    <row r="5" spans="1:8" x14ac:dyDescent="0.25">
      <c r="A5">
        <v>4</v>
      </c>
      <c r="B5" s="1" t="s">
        <v>11</v>
      </c>
      <c r="C5">
        <v>112.3</v>
      </c>
      <c r="D5">
        <v>106</v>
      </c>
      <c r="E5">
        <v>104</v>
      </c>
      <c r="F5">
        <v>110.1</v>
      </c>
      <c r="G5">
        <v>120</v>
      </c>
      <c r="H5">
        <v>108.5</v>
      </c>
    </row>
    <row r="6" spans="1:8" x14ac:dyDescent="0.25">
      <c r="A6">
        <v>5</v>
      </c>
      <c r="B6" s="1" t="s">
        <v>12</v>
      </c>
      <c r="C6">
        <v>111.3</v>
      </c>
      <c r="D6">
        <v>106</v>
      </c>
      <c r="E6">
        <v>114</v>
      </c>
      <c r="F6">
        <v>108.2</v>
      </c>
      <c r="G6">
        <v>115.3</v>
      </c>
      <c r="H6">
        <v>113.5</v>
      </c>
    </row>
    <row r="7" spans="1:8" x14ac:dyDescent="0.25">
      <c r="A7">
        <v>6</v>
      </c>
      <c r="B7" s="1" t="s">
        <v>13</v>
      </c>
      <c r="C7">
        <v>111.2</v>
      </c>
      <c r="D7">
        <v>112</v>
      </c>
      <c r="E7">
        <v>111</v>
      </c>
      <c r="F7">
        <v>109.4</v>
      </c>
      <c r="G7">
        <v>113.5</v>
      </c>
      <c r="H7">
        <v>115.7</v>
      </c>
    </row>
    <row r="8" spans="1:8" x14ac:dyDescent="0.25">
      <c r="A8">
        <v>7</v>
      </c>
      <c r="B8" s="1" t="s">
        <v>14</v>
      </c>
      <c r="C8">
        <v>111</v>
      </c>
      <c r="D8">
        <v>106.7</v>
      </c>
      <c r="E8">
        <v>104</v>
      </c>
      <c r="F8">
        <v>120.5</v>
      </c>
      <c r="G8">
        <v>101.5</v>
      </c>
      <c r="H8">
        <v>116.4</v>
      </c>
    </row>
    <row r="9" spans="1:8" x14ac:dyDescent="0.25">
      <c r="A9">
        <v>8</v>
      </c>
      <c r="B9" s="1" t="s">
        <v>15</v>
      </c>
      <c r="C9">
        <v>110.9</v>
      </c>
      <c r="D9">
        <v>108.7</v>
      </c>
      <c r="E9">
        <v>100</v>
      </c>
      <c r="F9">
        <v>118</v>
      </c>
      <c r="G9">
        <v>103.8</v>
      </c>
      <c r="H9">
        <v>116.3</v>
      </c>
    </row>
    <row r="10" spans="1:8" x14ac:dyDescent="0.25">
      <c r="A10">
        <v>8</v>
      </c>
      <c r="B10" s="1" t="s">
        <v>16</v>
      </c>
      <c r="C10">
        <v>110.9</v>
      </c>
      <c r="D10">
        <v>105.7</v>
      </c>
      <c r="E10">
        <v>108</v>
      </c>
      <c r="F10">
        <v>112.2</v>
      </c>
      <c r="G10">
        <v>109.5</v>
      </c>
      <c r="H10">
        <v>113.3</v>
      </c>
    </row>
    <row r="11" spans="1:8" x14ac:dyDescent="0.25">
      <c r="A11">
        <v>8</v>
      </c>
      <c r="B11" s="1" t="s">
        <v>17</v>
      </c>
      <c r="C11">
        <v>110.9</v>
      </c>
      <c r="D11">
        <v>110.7</v>
      </c>
      <c r="E11">
        <v>78</v>
      </c>
      <c r="F11">
        <v>109</v>
      </c>
      <c r="G11">
        <v>112.8</v>
      </c>
      <c r="H11">
        <v>107.5</v>
      </c>
    </row>
    <row r="12" spans="1:8" x14ac:dyDescent="0.25">
      <c r="A12">
        <v>11</v>
      </c>
      <c r="B12" s="1" t="s">
        <v>18</v>
      </c>
      <c r="C12">
        <v>110.8</v>
      </c>
      <c r="D12">
        <v>108.3</v>
      </c>
      <c r="E12">
        <v>109</v>
      </c>
      <c r="F12">
        <v>111.4</v>
      </c>
      <c r="G12">
        <v>110</v>
      </c>
      <c r="H12">
        <v>114</v>
      </c>
    </row>
    <row r="13" spans="1:8" x14ac:dyDescent="0.25">
      <c r="A13">
        <v>12</v>
      </c>
      <c r="B13" s="1" t="s">
        <v>19</v>
      </c>
      <c r="C13">
        <v>109.9</v>
      </c>
      <c r="D13">
        <v>108</v>
      </c>
      <c r="E13">
        <v>112</v>
      </c>
      <c r="F13">
        <v>106.7</v>
      </c>
      <c r="G13">
        <v>111.8</v>
      </c>
      <c r="H13">
        <v>113.7</v>
      </c>
    </row>
    <row r="14" spans="1:8" x14ac:dyDescent="0.25">
      <c r="A14">
        <v>13</v>
      </c>
      <c r="B14" s="1" t="s">
        <v>20</v>
      </c>
      <c r="C14">
        <v>109.8</v>
      </c>
      <c r="D14">
        <v>109.3</v>
      </c>
      <c r="E14">
        <v>108</v>
      </c>
      <c r="F14">
        <v>115.8</v>
      </c>
      <c r="G14">
        <v>103.8</v>
      </c>
      <c r="H14">
        <v>110.9</v>
      </c>
    </row>
    <row r="15" spans="1:8" x14ac:dyDescent="0.25">
      <c r="A15">
        <v>14</v>
      </c>
      <c r="B15" s="1" t="s">
        <v>21</v>
      </c>
      <c r="C15">
        <v>109.4</v>
      </c>
      <c r="D15">
        <v>101.7</v>
      </c>
      <c r="E15">
        <v>117</v>
      </c>
      <c r="F15">
        <v>105.8</v>
      </c>
      <c r="G15">
        <v>113</v>
      </c>
      <c r="H15">
        <v>117.7</v>
      </c>
    </row>
    <row r="16" spans="1:8" x14ac:dyDescent="0.25">
      <c r="A16">
        <v>15</v>
      </c>
      <c r="B16" s="1" t="s">
        <v>22</v>
      </c>
      <c r="C16">
        <v>109.3</v>
      </c>
      <c r="D16">
        <v>100.3</v>
      </c>
      <c r="E16">
        <v>95</v>
      </c>
      <c r="F16">
        <v>101.3</v>
      </c>
      <c r="G16">
        <v>113.3</v>
      </c>
      <c r="H16">
        <v>112.7</v>
      </c>
    </row>
    <row r="17" spans="1:8" x14ac:dyDescent="0.25">
      <c r="A17">
        <v>16</v>
      </c>
      <c r="B17" s="1" t="s">
        <v>23</v>
      </c>
      <c r="C17">
        <v>108.7</v>
      </c>
      <c r="D17">
        <v>112</v>
      </c>
      <c r="E17">
        <v>123</v>
      </c>
      <c r="F17">
        <v>108.2</v>
      </c>
      <c r="G17">
        <v>110</v>
      </c>
      <c r="H17">
        <v>113.8</v>
      </c>
    </row>
    <row r="18" spans="1:8" x14ac:dyDescent="0.25">
      <c r="A18">
        <v>17</v>
      </c>
      <c r="B18" s="1" t="s">
        <v>24</v>
      </c>
      <c r="C18">
        <v>108.2</v>
      </c>
      <c r="D18">
        <v>111</v>
      </c>
      <c r="E18">
        <v>98</v>
      </c>
      <c r="F18">
        <v>108.8</v>
      </c>
      <c r="G18">
        <v>107.8</v>
      </c>
      <c r="H18">
        <v>110.7</v>
      </c>
    </row>
    <row r="19" spans="1:8" x14ac:dyDescent="0.25">
      <c r="A19">
        <v>18</v>
      </c>
      <c r="B19" s="1" t="s">
        <v>25</v>
      </c>
      <c r="C19">
        <v>106.8</v>
      </c>
      <c r="D19">
        <v>108</v>
      </c>
      <c r="E19">
        <v>98</v>
      </c>
      <c r="F19">
        <v>112.8</v>
      </c>
      <c r="G19">
        <v>102</v>
      </c>
      <c r="H19">
        <v>112.2</v>
      </c>
    </row>
    <row r="20" spans="1:8" x14ac:dyDescent="0.25">
      <c r="A20">
        <v>19</v>
      </c>
      <c r="B20" s="1" t="s">
        <v>26</v>
      </c>
      <c r="C20">
        <v>106.1</v>
      </c>
      <c r="D20">
        <v>113</v>
      </c>
      <c r="E20">
        <v>117</v>
      </c>
      <c r="F20">
        <v>105.2</v>
      </c>
      <c r="G20">
        <v>109</v>
      </c>
      <c r="H20">
        <v>117.7</v>
      </c>
    </row>
    <row r="21" spans="1:8" x14ac:dyDescent="0.25">
      <c r="A21">
        <v>20</v>
      </c>
      <c r="B21" s="1" t="s">
        <v>27</v>
      </c>
      <c r="C21">
        <v>105.6</v>
      </c>
      <c r="D21">
        <v>105.7</v>
      </c>
      <c r="E21">
        <v>126</v>
      </c>
      <c r="F21">
        <v>102</v>
      </c>
      <c r="G21">
        <v>110.3</v>
      </c>
      <c r="H21">
        <v>113.5</v>
      </c>
    </row>
    <row r="22" spans="1:8" x14ac:dyDescent="0.25">
      <c r="A22">
        <v>21</v>
      </c>
      <c r="B22" s="1" t="s">
        <v>28</v>
      </c>
      <c r="C22">
        <v>105.3</v>
      </c>
      <c r="D22">
        <v>106.3</v>
      </c>
      <c r="E22">
        <v>109</v>
      </c>
      <c r="F22">
        <v>102.8</v>
      </c>
      <c r="G22">
        <v>108.5</v>
      </c>
      <c r="H22">
        <v>111.3</v>
      </c>
    </row>
    <row r="23" spans="1:8" x14ac:dyDescent="0.25">
      <c r="A23">
        <v>22</v>
      </c>
      <c r="B23" s="1" t="s">
        <v>29</v>
      </c>
      <c r="C23">
        <v>104.9</v>
      </c>
      <c r="D23">
        <v>101</v>
      </c>
      <c r="E23">
        <v>115</v>
      </c>
      <c r="F23">
        <v>103.5</v>
      </c>
      <c r="G23">
        <v>113</v>
      </c>
      <c r="H23">
        <v>112.1</v>
      </c>
    </row>
    <row r="24" spans="1:8" x14ac:dyDescent="0.25">
      <c r="A24">
        <v>23</v>
      </c>
      <c r="B24" s="1" t="s">
        <v>30</v>
      </c>
      <c r="C24">
        <v>104.6</v>
      </c>
      <c r="D24">
        <v>104.3</v>
      </c>
      <c r="E24">
        <v>111</v>
      </c>
      <c r="F24">
        <v>104</v>
      </c>
      <c r="G24">
        <v>105</v>
      </c>
      <c r="H24">
        <v>108.8</v>
      </c>
    </row>
    <row r="25" spans="1:8" x14ac:dyDescent="0.25">
      <c r="A25">
        <v>24</v>
      </c>
      <c r="B25" s="1" t="s">
        <v>31</v>
      </c>
      <c r="C25">
        <v>104.2</v>
      </c>
      <c r="D25">
        <v>104</v>
      </c>
      <c r="E25">
        <v>107</v>
      </c>
      <c r="F25">
        <v>106.7</v>
      </c>
      <c r="G25">
        <v>103</v>
      </c>
      <c r="H25">
        <v>103.8</v>
      </c>
    </row>
    <row r="26" spans="1:8" x14ac:dyDescent="0.25">
      <c r="A26">
        <v>25</v>
      </c>
      <c r="B26" s="1" t="s">
        <v>32</v>
      </c>
      <c r="C26">
        <v>103.2</v>
      </c>
      <c r="D26">
        <v>105.3</v>
      </c>
      <c r="E26">
        <v>99</v>
      </c>
      <c r="F26">
        <v>105.5</v>
      </c>
      <c r="G26">
        <v>101.4</v>
      </c>
      <c r="H26">
        <v>114.6</v>
      </c>
    </row>
    <row r="27" spans="1:8" x14ac:dyDescent="0.25">
      <c r="A27">
        <v>26</v>
      </c>
      <c r="B27" s="1" t="s">
        <v>33</v>
      </c>
      <c r="C27">
        <v>101.4</v>
      </c>
      <c r="D27">
        <v>98.7</v>
      </c>
      <c r="E27">
        <v>106</v>
      </c>
      <c r="F27">
        <v>98.3</v>
      </c>
      <c r="G27">
        <v>103.2</v>
      </c>
      <c r="H27">
        <v>115</v>
      </c>
    </row>
    <row r="28" spans="1:8" x14ac:dyDescent="0.25">
      <c r="A28">
        <v>27</v>
      </c>
      <c r="B28" s="1" t="s">
        <v>34</v>
      </c>
      <c r="C28">
        <v>101.1</v>
      </c>
      <c r="D28">
        <v>108</v>
      </c>
      <c r="E28">
        <v>109</v>
      </c>
      <c r="F28">
        <v>108.8</v>
      </c>
      <c r="G28">
        <v>93.5</v>
      </c>
      <c r="H28">
        <v>111.9</v>
      </c>
    </row>
    <row r="29" spans="1:8" x14ac:dyDescent="0.25">
      <c r="A29">
        <v>28</v>
      </c>
      <c r="B29" s="1" t="s">
        <v>35</v>
      </c>
      <c r="C29">
        <v>101.1</v>
      </c>
      <c r="D29">
        <v>99</v>
      </c>
      <c r="E29">
        <v>79</v>
      </c>
      <c r="F29">
        <v>95.3</v>
      </c>
      <c r="G29">
        <v>104</v>
      </c>
      <c r="H29">
        <v>104</v>
      </c>
    </row>
    <row r="30" spans="1:8" x14ac:dyDescent="0.25">
      <c r="A30">
        <v>29</v>
      </c>
      <c r="B30" s="1" t="s">
        <v>36</v>
      </c>
      <c r="C30">
        <v>98</v>
      </c>
      <c r="D30">
        <v>94.3</v>
      </c>
      <c r="E30">
        <v>107</v>
      </c>
      <c r="F30">
        <v>108</v>
      </c>
      <c r="G30">
        <v>92</v>
      </c>
      <c r="H30">
        <v>105</v>
      </c>
    </row>
    <row r="31" spans="1:8" x14ac:dyDescent="0.25">
      <c r="A31">
        <v>30</v>
      </c>
      <c r="B31" s="1" t="s">
        <v>37</v>
      </c>
      <c r="C31">
        <v>95.5</v>
      </c>
      <c r="D31">
        <v>92.7</v>
      </c>
      <c r="E31">
        <v>98</v>
      </c>
      <c r="F31">
        <v>96.2</v>
      </c>
      <c r="G31">
        <v>94.8</v>
      </c>
      <c r="H31">
        <v>106.6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1D09-93E0-48C4-9978-D53C47D81D94}">
  <dimension ref="A1:H31"/>
  <sheetViews>
    <sheetView workbookViewId="0">
      <selection activeCell="K28" sqref="K28"/>
    </sheetView>
  </sheetViews>
  <sheetFormatPr defaultRowHeight="13.8" x14ac:dyDescent="0.25"/>
  <cols>
    <col min="1" max="1" width="8.21875" bestFit="1" customWidth="1"/>
    <col min="2" max="2" width="12.77734375" bestFit="1" customWidth="1"/>
    <col min="3" max="3" width="8.21875" bestFit="1" customWidth="1"/>
    <col min="4" max="5" width="9.109375" bestFit="1" customWidth="1"/>
    <col min="6" max="6" width="9.33203125" bestFit="1" customWidth="1"/>
    <col min="7" max="7" width="8.6640625" bestFit="1" customWidth="1"/>
    <col min="8" max="8" width="8.21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17</v>
      </c>
      <c r="C2">
        <v>98.4</v>
      </c>
      <c r="D2">
        <v>102.7</v>
      </c>
      <c r="E2">
        <v>95</v>
      </c>
      <c r="F2">
        <v>94.8</v>
      </c>
      <c r="G2">
        <v>102</v>
      </c>
      <c r="H2">
        <v>108.6</v>
      </c>
    </row>
    <row r="3" spans="1:8" x14ac:dyDescent="0.25">
      <c r="A3">
        <v>2</v>
      </c>
      <c r="B3" s="1" t="s">
        <v>33</v>
      </c>
      <c r="C3">
        <v>99.4</v>
      </c>
      <c r="D3">
        <v>101.7</v>
      </c>
      <c r="E3">
        <v>108</v>
      </c>
      <c r="F3">
        <v>90</v>
      </c>
      <c r="G3">
        <v>105</v>
      </c>
      <c r="H3">
        <v>111.4</v>
      </c>
    </row>
    <row r="4" spans="1:8" x14ac:dyDescent="0.25">
      <c r="A4">
        <v>3</v>
      </c>
      <c r="B4" s="1" t="s">
        <v>10</v>
      </c>
      <c r="C4">
        <v>100.1</v>
      </c>
      <c r="D4">
        <v>102</v>
      </c>
      <c r="E4">
        <v>98</v>
      </c>
      <c r="F4">
        <v>103</v>
      </c>
      <c r="G4">
        <v>98.4</v>
      </c>
      <c r="H4">
        <v>108.6</v>
      </c>
    </row>
    <row r="5" spans="1:8" x14ac:dyDescent="0.25">
      <c r="A5">
        <v>4</v>
      </c>
      <c r="B5" s="1" t="s">
        <v>28</v>
      </c>
      <c r="C5">
        <v>100.2</v>
      </c>
      <c r="D5">
        <v>99.3</v>
      </c>
      <c r="E5">
        <v>100</v>
      </c>
      <c r="F5">
        <v>104.2</v>
      </c>
      <c r="G5">
        <v>95.2</v>
      </c>
      <c r="H5">
        <v>111.7</v>
      </c>
    </row>
    <row r="6" spans="1:8" x14ac:dyDescent="0.25">
      <c r="A6">
        <v>5</v>
      </c>
      <c r="B6" s="1" t="s">
        <v>24</v>
      </c>
      <c r="C6">
        <v>101.2</v>
      </c>
      <c r="D6">
        <v>105.3</v>
      </c>
      <c r="E6">
        <v>103</v>
      </c>
      <c r="F6">
        <v>99.2</v>
      </c>
      <c r="G6">
        <v>103.2</v>
      </c>
      <c r="H6">
        <v>111.6</v>
      </c>
    </row>
    <row r="7" spans="1:8" x14ac:dyDescent="0.25">
      <c r="A7">
        <v>6</v>
      </c>
      <c r="B7" s="1" t="s">
        <v>12</v>
      </c>
      <c r="C7">
        <v>101.4</v>
      </c>
      <c r="D7">
        <v>92.7</v>
      </c>
      <c r="E7">
        <v>92</v>
      </c>
      <c r="F7">
        <v>97.8</v>
      </c>
      <c r="G7">
        <v>106.3</v>
      </c>
      <c r="H7">
        <v>112.6</v>
      </c>
    </row>
    <row r="8" spans="1:8" x14ac:dyDescent="0.25">
      <c r="A8">
        <v>7</v>
      </c>
      <c r="B8" s="1" t="s">
        <v>18</v>
      </c>
      <c r="C8">
        <v>102.3</v>
      </c>
      <c r="D8">
        <v>99.7</v>
      </c>
      <c r="E8">
        <v>98</v>
      </c>
      <c r="F8">
        <v>102.2</v>
      </c>
      <c r="G8">
        <v>102.5</v>
      </c>
      <c r="H8">
        <v>108.2</v>
      </c>
    </row>
    <row r="9" spans="1:8" x14ac:dyDescent="0.25">
      <c r="A9">
        <v>8</v>
      </c>
      <c r="B9" s="1" t="s">
        <v>27</v>
      </c>
      <c r="C9">
        <v>104.7</v>
      </c>
      <c r="D9">
        <v>106.7</v>
      </c>
      <c r="E9">
        <v>115</v>
      </c>
      <c r="F9">
        <v>98</v>
      </c>
      <c r="G9">
        <v>113.7</v>
      </c>
      <c r="H9">
        <v>107.8</v>
      </c>
    </row>
    <row r="10" spans="1:8" x14ac:dyDescent="0.25">
      <c r="A10">
        <v>9</v>
      </c>
      <c r="B10" s="1" t="s">
        <v>31</v>
      </c>
      <c r="C10">
        <v>104.9</v>
      </c>
      <c r="D10">
        <v>105</v>
      </c>
      <c r="E10">
        <v>104</v>
      </c>
      <c r="F10">
        <v>107.3</v>
      </c>
      <c r="G10">
        <v>103.7</v>
      </c>
      <c r="H10">
        <v>112.3</v>
      </c>
    </row>
    <row r="11" spans="1:8" x14ac:dyDescent="0.25">
      <c r="A11">
        <v>10</v>
      </c>
      <c r="B11" s="1" t="s">
        <v>26</v>
      </c>
      <c r="C11">
        <v>105</v>
      </c>
      <c r="D11">
        <v>99</v>
      </c>
      <c r="E11">
        <v>108</v>
      </c>
      <c r="F11">
        <v>100.7</v>
      </c>
      <c r="G11">
        <v>118</v>
      </c>
      <c r="H11">
        <v>112.9</v>
      </c>
    </row>
    <row r="12" spans="1:8" x14ac:dyDescent="0.25">
      <c r="A12">
        <v>11</v>
      </c>
      <c r="B12" s="1" t="s">
        <v>29</v>
      </c>
      <c r="C12">
        <v>106.3</v>
      </c>
      <c r="D12">
        <v>111.3</v>
      </c>
      <c r="E12">
        <v>126</v>
      </c>
      <c r="F12">
        <v>106</v>
      </c>
      <c r="G12">
        <v>108</v>
      </c>
      <c r="H12">
        <v>117.7</v>
      </c>
    </row>
    <row r="13" spans="1:8" x14ac:dyDescent="0.25">
      <c r="A13">
        <v>12</v>
      </c>
      <c r="B13" s="1" t="s">
        <v>34</v>
      </c>
      <c r="C13">
        <v>106.4</v>
      </c>
      <c r="D13">
        <v>110.7</v>
      </c>
      <c r="E13">
        <v>108</v>
      </c>
      <c r="F13">
        <v>107.2</v>
      </c>
      <c r="G13">
        <v>105.5</v>
      </c>
      <c r="H13">
        <v>110.3</v>
      </c>
    </row>
    <row r="14" spans="1:8" x14ac:dyDescent="0.25">
      <c r="A14">
        <v>13</v>
      </c>
      <c r="B14" s="1" t="s">
        <v>37</v>
      </c>
      <c r="C14">
        <v>108.6</v>
      </c>
      <c r="D14">
        <v>114.3</v>
      </c>
      <c r="E14">
        <v>109</v>
      </c>
      <c r="F14">
        <v>105.8</v>
      </c>
      <c r="G14">
        <v>111.5</v>
      </c>
      <c r="H14">
        <v>111.1</v>
      </c>
    </row>
    <row r="15" spans="1:8" x14ac:dyDescent="0.25">
      <c r="A15">
        <v>14</v>
      </c>
      <c r="B15" s="1" t="s">
        <v>25</v>
      </c>
      <c r="C15">
        <v>108.8</v>
      </c>
      <c r="D15">
        <v>114.7</v>
      </c>
      <c r="E15">
        <v>116</v>
      </c>
      <c r="F15">
        <v>104.5</v>
      </c>
      <c r="G15">
        <v>112.2</v>
      </c>
      <c r="H15">
        <v>110.7</v>
      </c>
    </row>
    <row r="16" spans="1:8" x14ac:dyDescent="0.25">
      <c r="A16">
        <v>15</v>
      </c>
      <c r="B16" s="1" t="s">
        <v>23</v>
      </c>
      <c r="C16">
        <v>108.9</v>
      </c>
      <c r="D16">
        <v>101</v>
      </c>
      <c r="E16">
        <v>111</v>
      </c>
      <c r="F16">
        <v>104.6</v>
      </c>
      <c r="G16">
        <v>119.5</v>
      </c>
      <c r="H16">
        <v>108.3</v>
      </c>
    </row>
    <row r="17" spans="1:8" x14ac:dyDescent="0.25">
      <c r="A17">
        <v>16</v>
      </c>
      <c r="B17" s="1" t="s">
        <v>21</v>
      </c>
      <c r="C17">
        <v>109</v>
      </c>
      <c r="D17">
        <v>99.3</v>
      </c>
      <c r="E17">
        <v>89</v>
      </c>
      <c r="F17">
        <v>106.5</v>
      </c>
      <c r="G17">
        <v>111.5</v>
      </c>
      <c r="H17">
        <v>112</v>
      </c>
    </row>
    <row r="18" spans="1:8" x14ac:dyDescent="0.25">
      <c r="A18">
        <v>17</v>
      </c>
      <c r="B18" s="1" t="s">
        <v>36</v>
      </c>
      <c r="C18">
        <v>109.1</v>
      </c>
      <c r="D18">
        <v>102</v>
      </c>
      <c r="E18">
        <v>104</v>
      </c>
      <c r="F18">
        <v>112</v>
      </c>
      <c r="G18">
        <v>107.4</v>
      </c>
      <c r="H18">
        <v>115.6</v>
      </c>
    </row>
    <row r="19" spans="1:8" x14ac:dyDescent="0.25">
      <c r="A19">
        <v>18</v>
      </c>
      <c r="B19" s="1" t="s">
        <v>35</v>
      </c>
      <c r="C19">
        <v>109.3</v>
      </c>
      <c r="D19">
        <v>99.7</v>
      </c>
      <c r="E19">
        <v>92</v>
      </c>
      <c r="F19">
        <v>111</v>
      </c>
      <c r="G19">
        <v>108.5</v>
      </c>
      <c r="H19">
        <v>113.3</v>
      </c>
    </row>
    <row r="20" spans="1:8" x14ac:dyDescent="0.25">
      <c r="A20">
        <v>19</v>
      </c>
      <c r="B20" s="1" t="s">
        <v>15</v>
      </c>
      <c r="C20">
        <v>109.8</v>
      </c>
      <c r="D20">
        <v>113</v>
      </c>
      <c r="E20">
        <v>109</v>
      </c>
      <c r="F20">
        <v>116.5</v>
      </c>
      <c r="G20">
        <v>103</v>
      </c>
      <c r="H20">
        <v>118.8</v>
      </c>
    </row>
    <row r="21" spans="1:8" x14ac:dyDescent="0.25">
      <c r="A21">
        <v>19</v>
      </c>
      <c r="B21" s="1" t="s">
        <v>14</v>
      </c>
      <c r="C21">
        <v>109.8</v>
      </c>
      <c r="D21">
        <v>115</v>
      </c>
      <c r="E21">
        <v>107</v>
      </c>
      <c r="F21">
        <v>104.2</v>
      </c>
      <c r="G21">
        <v>115.2</v>
      </c>
      <c r="H21">
        <v>114.8</v>
      </c>
    </row>
    <row r="22" spans="1:8" x14ac:dyDescent="0.25">
      <c r="A22">
        <v>21</v>
      </c>
      <c r="B22" s="1" t="s">
        <v>20</v>
      </c>
      <c r="C22">
        <v>110.2</v>
      </c>
      <c r="D22">
        <v>111</v>
      </c>
      <c r="E22">
        <v>109</v>
      </c>
      <c r="F22">
        <v>113</v>
      </c>
      <c r="G22">
        <v>107.5</v>
      </c>
      <c r="H22">
        <v>112.6</v>
      </c>
    </row>
    <row r="23" spans="1:8" x14ac:dyDescent="0.25">
      <c r="A23">
        <v>22</v>
      </c>
      <c r="B23" s="1" t="s">
        <v>9</v>
      </c>
      <c r="C23">
        <v>110.4</v>
      </c>
      <c r="D23">
        <v>113.7</v>
      </c>
      <c r="E23">
        <v>111</v>
      </c>
      <c r="F23">
        <v>114</v>
      </c>
      <c r="G23">
        <v>106.8</v>
      </c>
      <c r="H23">
        <v>104.7</v>
      </c>
    </row>
    <row r="24" spans="1:8" x14ac:dyDescent="0.25">
      <c r="A24">
        <v>23</v>
      </c>
      <c r="B24" s="1" t="s">
        <v>22</v>
      </c>
      <c r="C24">
        <v>110.6</v>
      </c>
      <c r="D24">
        <v>95</v>
      </c>
      <c r="E24">
        <v>78</v>
      </c>
      <c r="F24">
        <v>119.7</v>
      </c>
      <c r="G24">
        <v>106</v>
      </c>
      <c r="H24">
        <v>111.8</v>
      </c>
    </row>
    <row r="25" spans="1:8" x14ac:dyDescent="0.25">
      <c r="A25">
        <v>24</v>
      </c>
      <c r="B25" s="1" t="s">
        <v>19</v>
      </c>
      <c r="C25">
        <v>111.1</v>
      </c>
      <c r="D25">
        <v>107.7</v>
      </c>
      <c r="E25">
        <v>99</v>
      </c>
      <c r="F25">
        <v>109.3</v>
      </c>
      <c r="G25">
        <v>112.2</v>
      </c>
      <c r="H25">
        <v>117.4</v>
      </c>
    </row>
    <row r="26" spans="1:8" x14ac:dyDescent="0.25">
      <c r="A26">
        <v>25</v>
      </c>
      <c r="B26" s="1" t="s">
        <v>32</v>
      </c>
      <c r="C26">
        <v>111.2</v>
      </c>
      <c r="D26">
        <v>115.7</v>
      </c>
      <c r="E26">
        <v>112</v>
      </c>
      <c r="F26">
        <v>113.8</v>
      </c>
      <c r="G26">
        <v>109.2</v>
      </c>
      <c r="H26">
        <v>114.9</v>
      </c>
    </row>
    <row r="27" spans="1:8" x14ac:dyDescent="0.25">
      <c r="A27">
        <v>26</v>
      </c>
      <c r="B27" s="1" t="s">
        <v>13</v>
      </c>
      <c r="C27">
        <v>111.6</v>
      </c>
      <c r="D27">
        <v>104.3</v>
      </c>
      <c r="E27">
        <v>98</v>
      </c>
      <c r="F27">
        <v>104.6</v>
      </c>
      <c r="G27">
        <v>120.2</v>
      </c>
      <c r="H27">
        <v>115.7</v>
      </c>
    </row>
    <row r="28" spans="1:8" x14ac:dyDescent="0.25">
      <c r="A28">
        <v>27</v>
      </c>
      <c r="B28" s="1" t="s">
        <v>11</v>
      </c>
      <c r="C28">
        <v>112</v>
      </c>
      <c r="D28">
        <v>103</v>
      </c>
      <c r="E28">
        <v>107</v>
      </c>
      <c r="F28">
        <v>109.1</v>
      </c>
      <c r="G28">
        <v>122</v>
      </c>
      <c r="H28">
        <v>106.5</v>
      </c>
    </row>
    <row r="29" spans="1:8" x14ac:dyDescent="0.25">
      <c r="A29">
        <v>28</v>
      </c>
      <c r="B29" s="1" t="s">
        <v>30</v>
      </c>
      <c r="C29">
        <v>112.1</v>
      </c>
      <c r="D29">
        <v>112.3</v>
      </c>
      <c r="E29">
        <v>123</v>
      </c>
      <c r="F29">
        <v>106.7</v>
      </c>
      <c r="G29">
        <v>115.4</v>
      </c>
      <c r="H29">
        <v>116.7</v>
      </c>
    </row>
    <row r="30" spans="1:8" x14ac:dyDescent="0.25">
      <c r="A30">
        <v>29</v>
      </c>
      <c r="B30" s="1" t="s">
        <v>16</v>
      </c>
      <c r="C30">
        <v>113.1</v>
      </c>
      <c r="D30">
        <v>110.7</v>
      </c>
      <c r="E30">
        <v>106</v>
      </c>
      <c r="F30">
        <v>113.2</v>
      </c>
      <c r="G30">
        <v>113</v>
      </c>
      <c r="H30">
        <v>112.8</v>
      </c>
    </row>
    <row r="31" spans="1:8" x14ac:dyDescent="0.25">
      <c r="A31">
        <v>30</v>
      </c>
      <c r="B31" s="1" t="s">
        <v>8</v>
      </c>
      <c r="C31">
        <v>114.9</v>
      </c>
      <c r="D31">
        <v>113.3</v>
      </c>
      <c r="E31">
        <v>114</v>
      </c>
      <c r="F31">
        <v>122</v>
      </c>
      <c r="G31">
        <v>109.2</v>
      </c>
      <c r="H31">
        <v>111.8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01F5-B704-4FF5-9FAD-CAE9FA660FB8}">
  <dimension ref="A1:AO154"/>
  <sheetViews>
    <sheetView tabSelected="1" zoomScaleNormal="100" workbookViewId="0">
      <selection activeCell="G154" sqref="G154"/>
    </sheetView>
  </sheetViews>
  <sheetFormatPr defaultRowHeight="13.8" x14ac:dyDescent="0.25"/>
  <cols>
    <col min="1" max="1" width="6" bestFit="1" customWidth="1"/>
    <col min="2" max="2" width="5.21875" bestFit="1" customWidth="1"/>
    <col min="3" max="3" width="11.6640625" bestFit="1" customWidth="1"/>
    <col min="4" max="4" width="12.109375" bestFit="1" customWidth="1"/>
    <col min="5" max="5" width="7.77734375" bestFit="1" customWidth="1"/>
    <col min="6" max="6" width="7.44140625" bestFit="1" customWidth="1"/>
    <col min="7" max="7" width="12.77734375" bestFit="1" customWidth="1"/>
    <col min="9" max="9" width="11.77734375" bestFit="1" customWidth="1"/>
    <col min="10" max="10" width="13.21875" bestFit="1" customWidth="1"/>
    <col min="11" max="11" width="12.77734375" bestFit="1" customWidth="1"/>
    <col min="12" max="12" width="11.6640625" bestFit="1" customWidth="1"/>
    <col min="13" max="13" width="13.109375" bestFit="1" customWidth="1"/>
    <col min="14" max="14" width="12.6640625" bestFit="1" customWidth="1"/>
    <col min="15" max="15" width="11.44140625" bestFit="1" customWidth="1"/>
    <col min="16" max="16" width="12.77734375" bestFit="1" customWidth="1"/>
    <col min="17" max="17" width="12.44140625" bestFit="1" customWidth="1"/>
    <col min="18" max="18" width="13.44140625" bestFit="1" customWidth="1"/>
    <col min="19" max="20" width="12.88671875" bestFit="1" customWidth="1"/>
    <col min="21" max="21" width="12.5546875" bestFit="1" customWidth="1"/>
    <col min="22" max="22" width="12.77734375" bestFit="1" customWidth="1"/>
    <col min="23" max="23" width="13.44140625" bestFit="1" customWidth="1"/>
    <col min="24" max="24" width="11.5546875" bestFit="1" customWidth="1"/>
    <col min="25" max="25" width="4.88671875" bestFit="1" customWidth="1"/>
    <col min="26" max="26" width="16.6640625" bestFit="1" customWidth="1"/>
    <col min="27" max="27" width="18.21875" bestFit="1" customWidth="1"/>
    <col min="28" max="28" width="17.77734375" bestFit="1" customWidth="1"/>
    <col min="29" max="29" width="16.5546875" bestFit="1" customWidth="1"/>
    <col min="30" max="30" width="18.109375" bestFit="1" customWidth="1"/>
    <col min="31" max="31" width="17.6640625" bestFit="1" customWidth="1"/>
    <col min="32" max="32" width="16.33203125" bestFit="1" customWidth="1"/>
    <col min="33" max="33" width="17.77734375" bestFit="1" customWidth="1"/>
    <col min="34" max="34" width="17.44140625" bestFit="1" customWidth="1"/>
    <col min="35" max="35" width="18.44140625" bestFit="1" customWidth="1"/>
    <col min="36" max="37" width="17.88671875" bestFit="1" customWidth="1"/>
    <col min="38" max="38" width="17.5546875" bestFit="1" customWidth="1"/>
    <col min="39" max="39" width="17.77734375" bestFit="1" customWidth="1"/>
    <col min="40" max="40" width="18.44140625" bestFit="1" customWidth="1"/>
    <col min="41" max="41" width="16.44140625" bestFit="1" customWidth="1"/>
  </cols>
  <sheetData>
    <row r="1" spans="1:41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48</v>
      </c>
      <c r="Z1" t="s">
        <v>348</v>
      </c>
      <c r="AA1" t="s">
        <v>349</v>
      </c>
      <c r="AB1" t="s">
        <v>350</v>
      </c>
      <c r="AC1" t="s">
        <v>351</v>
      </c>
      <c r="AD1" t="s">
        <v>352</v>
      </c>
      <c r="AE1" t="s">
        <v>353</v>
      </c>
      <c r="AF1" t="s">
        <v>354</v>
      </c>
      <c r="AG1" t="s">
        <v>355</v>
      </c>
      <c r="AH1" t="s">
        <v>356</v>
      </c>
      <c r="AI1" t="s">
        <v>357</v>
      </c>
      <c r="AJ1" t="s">
        <v>358</v>
      </c>
      <c r="AK1" t="s">
        <v>359</v>
      </c>
      <c r="AL1" t="s">
        <v>360</v>
      </c>
      <c r="AM1" t="s">
        <v>361</v>
      </c>
      <c r="AN1" t="s">
        <v>362</v>
      </c>
      <c r="AO1" t="s">
        <v>363</v>
      </c>
    </row>
    <row r="2" spans="1:41" x14ac:dyDescent="0.25">
      <c r="A2" s="1" t="s">
        <v>50</v>
      </c>
      <c r="B2" s="1" t="s">
        <v>50</v>
      </c>
      <c r="C2" s="1" t="s">
        <v>364</v>
      </c>
      <c r="D2" s="1"/>
      <c r="E2" s="1" t="s">
        <v>258</v>
      </c>
      <c r="F2" s="1" t="s">
        <v>52</v>
      </c>
      <c r="G2" s="5" t="s">
        <v>120</v>
      </c>
      <c r="H2" s="1" t="s">
        <v>242</v>
      </c>
      <c r="I2" s="1" t="s">
        <v>251</v>
      </c>
      <c r="J2" s="1" t="s">
        <v>81</v>
      </c>
      <c r="K2" s="1" t="s">
        <v>155</v>
      </c>
      <c r="L2" s="1" t="s">
        <v>131</v>
      </c>
      <c r="M2" s="1" t="s">
        <v>226</v>
      </c>
      <c r="N2" s="1" t="s">
        <v>76</v>
      </c>
      <c r="O2" s="1" t="s">
        <v>189</v>
      </c>
      <c r="P2" s="1" t="s">
        <v>211</v>
      </c>
      <c r="Q2" s="1" t="s">
        <v>365</v>
      </c>
      <c r="R2" s="1" t="s">
        <v>119</v>
      </c>
      <c r="S2" s="1" t="s">
        <v>290</v>
      </c>
      <c r="T2" s="1" t="s">
        <v>181</v>
      </c>
      <c r="U2" s="1" t="s">
        <v>108</v>
      </c>
      <c r="V2" s="1" t="s">
        <v>92</v>
      </c>
      <c r="W2" s="1" t="s">
        <v>160</v>
      </c>
      <c r="X2" s="1" t="s">
        <v>171</v>
      </c>
      <c r="Y2" s="1"/>
      <c r="Z2" s="1" t="s">
        <v>235</v>
      </c>
      <c r="AA2" s="1" t="s">
        <v>242</v>
      </c>
      <c r="AB2" s="1" t="s">
        <v>366</v>
      </c>
      <c r="AC2" s="1" t="s">
        <v>103</v>
      </c>
      <c r="AD2" s="1" t="s">
        <v>215</v>
      </c>
      <c r="AE2" s="1" t="s">
        <v>367</v>
      </c>
      <c r="AF2" s="1" t="s">
        <v>131</v>
      </c>
      <c r="AG2" s="1" t="s">
        <v>175</v>
      </c>
      <c r="AH2" s="1" t="s">
        <v>368</v>
      </c>
      <c r="AI2" s="1" t="s">
        <v>119</v>
      </c>
      <c r="AJ2" s="1" t="s">
        <v>264</v>
      </c>
      <c r="AK2" s="1" t="s">
        <v>189</v>
      </c>
      <c r="AL2" s="1" t="s">
        <v>85</v>
      </c>
      <c r="AM2" s="1" t="s">
        <v>85</v>
      </c>
      <c r="AN2" s="1" t="s">
        <v>150</v>
      </c>
      <c r="AO2" s="1" t="s">
        <v>181</v>
      </c>
    </row>
    <row r="3" spans="1:41" x14ac:dyDescent="0.25">
      <c r="A3" s="1" t="s">
        <v>48</v>
      </c>
      <c r="B3" s="1" t="s">
        <v>48</v>
      </c>
      <c r="C3" s="1" t="s">
        <v>369</v>
      </c>
      <c r="D3" s="1" t="s">
        <v>57</v>
      </c>
      <c r="E3" s="1" t="s">
        <v>133</v>
      </c>
      <c r="F3" s="1" t="s">
        <v>52</v>
      </c>
      <c r="G3" s="5" t="s">
        <v>198</v>
      </c>
      <c r="H3" s="1" t="s">
        <v>265</v>
      </c>
      <c r="I3" s="1" t="s">
        <v>247</v>
      </c>
      <c r="J3" s="1" t="s">
        <v>370</v>
      </c>
      <c r="K3" s="1" t="s">
        <v>116</v>
      </c>
      <c r="L3" s="1" t="s">
        <v>131</v>
      </c>
      <c r="M3" s="1" t="s">
        <v>200</v>
      </c>
      <c r="N3" s="1" t="s">
        <v>56</v>
      </c>
      <c r="O3" s="1" t="s">
        <v>189</v>
      </c>
      <c r="P3" s="1" t="s">
        <v>208</v>
      </c>
      <c r="Q3" s="1" t="s">
        <v>371</v>
      </c>
      <c r="R3" s="1" t="s">
        <v>98</v>
      </c>
      <c r="S3" s="1" t="s">
        <v>254</v>
      </c>
      <c r="T3" s="1" t="s">
        <v>165</v>
      </c>
      <c r="U3" s="1" t="s">
        <v>78</v>
      </c>
      <c r="V3" s="1" t="s">
        <v>103</v>
      </c>
      <c r="W3" s="1" t="s">
        <v>131</v>
      </c>
      <c r="X3" s="1" t="s">
        <v>171</v>
      </c>
      <c r="Y3" s="1"/>
      <c r="Z3" s="1" t="s">
        <v>235</v>
      </c>
      <c r="AA3" s="1" t="s">
        <v>259</v>
      </c>
      <c r="AB3" s="1" t="s">
        <v>298</v>
      </c>
      <c r="AC3" s="1" t="s">
        <v>94</v>
      </c>
      <c r="AD3" s="1" t="s">
        <v>190</v>
      </c>
      <c r="AE3" s="1" t="s">
        <v>141</v>
      </c>
      <c r="AF3" s="1" t="s">
        <v>119</v>
      </c>
      <c r="AG3" s="1" t="s">
        <v>156</v>
      </c>
      <c r="AH3" s="1" t="s">
        <v>229</v>
      </c>
      <c r="AI3" s="1" t="s">
        <v>160</v>
      </c>
      <c r="AJ3" s="1" t="s">
        <v>264</v>
      </c>
      <c r="AK3" s="1" t="s">
        <v>175</v>
      </c>
      <c r="AL3" s="1" t="s">
        <v>85</v>
      </c>
      <c r="AM3" s="1" t="s">
        <v>78</v>
      </c>
      <c r="AN3" s="1" t="s">
        <v>131</v>
      </c>
      <c r="AO3" s="1" t="s">
        <v>190</v>
      </c>
    </row>
    <row r="4" spans="1:41" x14ac:dyDescent="0.25">
      <c r="A4" s="1" t="s">
        <v>49</v>
      </c>
      <c r="B4" s="1" t="s">
        <v>49</v>
      </c>
      <c r="C4" s="1" t="s">
        <v>63</v>
      </c>
      <c r="D4" s="1" t="s">
        <v>57</v>
      </c>
      <c r="E4" s="1" t="s">
        <v>86</v>
      </c>
      <c r="F4" s="1" t="s">
        <v>65</v>
      </c>
      <c r="G4" s="5" t="s">
        <v>127</v>
      </c>
      <c r="H4" s="1" t="s">
        <v>128</v>
      </c>
      <c r="I4" s="1" t="s">
        <v>226</v>
      </c>
      <c r="J4" s="1" t="s">
        <v>372</v>
      </c>
      <c r="K4" s="1" t="s">
        <v>266</v>
      </c>
      <c r="L4" s="1" t="s">
        <v>142</v>
      </c>
      <c r="M4" s="1" t="s">
        <v>264</v>
      </c>
      <c r="N4" s="1" t="s">
        <v>373</v>
      </c>
      <c r="O4" s="1" t="s">
        <v>142</v>
      </c>
      <c r="P4" s="1" t="s">
        <v>184</v>
      </c>
      <c r="Q4" s="1" t="s">
        <v>374</v>
      </c>
      <c r="R4" s="1" t="s">
        <v>85</v>
      </c>
      <c r="S4" s="1" t="s">
        <v>262</v>
      </c>
      <c r="T4" s="1" t="s">
        <v>175</v>
      </c>
      <c r="U4" s="1" t="s">
        <v>70</v>
      </c>
      <c r="V4" s="1" t="s">
        <v>78</v>
      </c>
      <c r="W4" s="1" t="s">
        <v>156</v>
      </c>
      <c r="X4" s="1" t="s">
        <v>142</v>
      </c>
      <c r="Y4" s="1"/>
      <c r="Z4" s="1" t="s">
        <v>254</v>
      </c>
      <c r="AA4" s="1" t="s">
        <v>245</v>
      </c>
      <c r="AB4" s="1" t="s">
        <v>375</v>
      </c>
      <c r="AC4" s="1" t="s">
        <v>103</v>
      </c>
      <c r="AD4" s="1" t="s">
        <v>220</v>
      </c>
      <c r="AE4" s="1" t="s">
        <v>159</v>
      </c>
      <c r="AF4" s="1" t="s">
        <v>103</v>
      </c>
      <c r="AG4" s="1" t="s">
        <v>142</v>
      </c>
      <c r="AH4" s="1" t="s">
        <v>199</v>
      </c>
      <c r="AI4" s="1" t="s">
        <v>119</v>
      </c>
      <c r="AJ4" s="1" t="s">
        <v>273</v>
      </c>
      <c r="AK4" s="1" t="s">
        <v>226</v>
      </c>
      <c r="AL4" s="1" t="s">
        <v>94</v>
      </c>
      <c r="AM4" s="1" t="s">
        <v>49</v>
      </c>
      <c r="AN4" s="1" t="s">
        <v>112</v>
      </c>
      <c r="AO4" s="1" t="s">
        <v>184</v>
      </c>
    </row>
    <row r="5" spans="1:41" x14ac:dyDescent="0.25">
      <c r="A5" s="1" t="s">
        <v>70</v>
      </c>
      <c r="B5" s="1" t="s">
        <v>70</v>
      </c>
      <c r="C5" s="1" t="s">
        <v>376</v>
      </c>
      <c r="D5" s="1"/>
      <c r="E5" s="1" t="s">
        <v>126</v>
      </c>
      <c r="F5" s="1" t="s">
        <v>65</v>
      </c>
      <c r="G5" s="5" t="s">
        <v>172</v>
      </c>
      <c r="H5" s="1" t="s">
        <v>80</v>
      </c>
      <c r="I5" s="1" t="s">
        <v>247</v>
      </c>
      <c r="J5" s="1" t="s">
        <v>72</v>
      </c>
      <c r="K5" s="1" t="s">
        <v>377</v>
      </c>
      <c r="L5" s="1" t="s">
        <v>124</v>
      </c>
      <c r="M5" s="1" t="s">
        <v>251</v>
      </c>
      <c r="N5" s="1" t="s">
        <v>77</v>
      </c>
      <c r="O5" s="1" t="s">
        <v>131</v>
      </c>
      <c r="P5" s="1" t="s">
        <v>142</v>
      </c>
      <c r="Q5" s="1" t="s">
        <v>378</v>
      </c>
      <c r="R5" s="1" t="s">
        <v>119</v>
      </c>
      <c r="S5" s="1" t="s">
        <v>270</v>
      </c>
      <c r="T5" s="1" t="s">
        <v>195</v>
      </c>
      <c r="U5" s="1" t="s">
        <v>119</v>
      </c>
      <c r="V5" s="1" t="s">
        <v>85</v>
      </c>
      <c r="W5" s="1" t="s">
        <v>142</v>
      </c>
      <c r="X5" s="1" t="s">
        <v>160</v>
      </c>
      <c r="Y5" s="1"/>
      <c r="Z5" s="1" t="s">
        <v>251</v>
      </c>
      <c r="AA5" s="1" t="s">
        <v>259</v>
      </c>
      <c r="AB5" s="1" t="s">
        <v>76</v>
      </c>
      <c r="AC5" s="1" t="s">
        <v>103</v>
      </c>
      <c r="AD5" s="1" t="s">
        <v>200</v>
      </c>
      <c r="AE5" s="1" t="s">
        <v>55</v>
      </c>
      <c r="AF5" s="1" t="s">
        <v>171</v>
      </c>
      <c r="AG5" s="1" t="s">
        <v>200</v>
      </c>
      <c r="AH5" s="1" t="s">
        <v>379</v>
      </c>
      <c r="AI5" s="1" t="s">
        <v>138</v>
      </c>
      <c r="AJ5" s="1" t="s">
        <v>286</v>
      </c>
      <c r="AK5" s="1" t="s">
        <v>160</v>
      </c>
      <c r="AL5" s="1" t="s">
        <v>103</v>
      </c>
      <c r="AM5" s="1" t="s">
        <v>70</v>
      </c>
      <c r="AN5" s="1" t="s">
        <v>156</v>
      </c>
      <c r="AO5" s="1" t="s">
        <v>142</v>
      </c>
    </row>
    <row r="6" spans="1:41" x14ac:dyDescent="0.25">
      <c r="A6" s="1" t="s">
        <v>78</v>
      </c>
      <c r="B6" s="1" t="s">
        <v>78</v>
      </c>
      <c r="C6" s="1" t="s">
        <v>380</v>
      </c>
      <c r="D6" s="1"/>
      <c r="E6" s="1" t="s">
        <v>109</v>
      </c>
      <c r="F6" s="1" t="s">
        <v>52</v>
      </c>
      <c r="G6" s="5" t="s">
        <v>381</v>
      </c>
      <c r="H6" s="1" t="s">
        <v>95</v>
      </c>
      <c r="I6" s="1" t="s">
        <v>280</v>
      </c>
      <c r="J6" s="1" t="s">
        <v>72</v>
      </c>
      <c r="K6" s="1" t="s">
        <v>382</v>
      </c>
      <c r="L6" s="1" t="s">
        <v>156</v>
      </c>
      <c r="M6" s="1" t="s">
        <v>247</v>
      </c>
      <c r="N6" s="1" t="s">
        <v>383</v>
      </c>
      <c r="O6" s="1" t="s">
        <v>150</v>
      </c>
      <c r="P6" s="1" t="s">
        <v>175</v>
      </c>
      <c r="Q6" s="1" t="s">
        <v>384</v>
      </c>
      <c r="R6" s="1" t="s">
        <v>98</v>
      </c>
      <c r="S6" s="1" t="s">
        <v>244</v>
      </c>
      <c r="T6" s="1" t="s">
        <v>204</v>
      </c>
      <c r="U6" s="1" t="s">
        <v>85</v>
      </c>
      <c r="V6" s="1" t="s">
        <v>49</v>
      </c>
      <c r="W6" s="1" t="s">
        <v>94</v>
      </c>
      <c r="X6" s="1" t="s">
        <v>181</v>
      </c>
      <c r="Y6" s="1"/>
      <c r="Z6" s="1" t="s">
        <v>264</v>
      </c>
      <c r="AA6" s="1" t="s">
        <v>242</v>
      </c>
      <c r="AB6" s="1" t="s">
        <v>130</v>
      </c>
      <c r="AC6" s="1" t="s">
        <v>150</v>
      </c>
      <c r="AD6" s="1" t="s">
        <v>262</v>
      </c>
      <c r="AE6" s="1" t="s">
        <v>110</v>
      </c>
      <c r="AF6" s="1" t="s">
        <v>200</v>
      </c>
      <c r="AG6" s="1" t="s">
        <v>226</v>
      </c>
      <c r="AH6" s="1" t="s">
        <v>385</v>
      </c>
      <c r="AI6" s="1" t="s">
        <v>142</v>
      </c>
      <c r="AJ6" s="1" t="s">
        <v>280</v>
      </c>
      <c r="AK6" s="1" t="s">
        <v>190</v>
      </c>
      <c r="AL6" s="1" t="s">
        <v>78</v>
      </c>
      <c r="AM6" s="1" t="s">
        <v>48</v>
      </c>
      <c r="AN6" s="1" t="s">
        <v>112</v>
      </c>
      <c r="AO6" s="1" t="s">
        <v>156</v>
      </c>
    </row>
    <row r="7" spans="1:41" x14ac:dyDescent="0.25">
      <c r="A7" s="1" t="s">
        <v>85</v>
      </c>
      <c r="B7" s="1" t="s">
        <v>85</v>
      </c>
      <c r="C7" s="1" t="s">
        <v>386</v>
      </c>
      <c r="D7" s="1"/>
      <c r="E7" s="1" t="s">
        <v>109</v>
      </c>
      <c r="F7" s="1" t="s">
        <v>65</v>
      </c>
      <c r="G7" s="5" t="s">
        <v>245</v>
      </c>
      <c r="H7" s="1" t="s">
        <v>145</v>
      </c>
      <c r="I7" s="1" t="s">
        <v>226</v>
      </c>
      <c r="J7" s="1" t="s">
        <v>387</v>
      </c>
      <c r="K7" s="1" t="s">
        <v>97</v>
      </c>
      <c r="L7" s="1" t="s">
        <v>92</v>
      </c>
      <c r="M7" s="1" t="s">
        <v>235</v>
      </c>
      <c r="N7" s="1" t="s">
        <v>207</v>
      </c>
      <c r="O7" s="1" t="s">
        <v>156</v>
      </c>
      <c r="P7" s="1" t="s">
        <v>175</v>
      </c>
      <c r="Q7" s="1" t="s">
        <v>388</v>
      </c>
      <c r="R7" s="1" t="s">
        <v>103</v>
      </c>
      <c r="S7" s="1" t="s">
        <v>260</v>
      </c>
      <c r="T7" s="1" t="s">
        <v>156</v>
      </c>
      <c r="U7" s="1" t="s">
        <v>85</v>
      </c>
      <c r="V7" s="1" t="s">
        <v>85</v>
      </c>
      <c r="W7" s="1" t="s">
        <v>131</v>
      </c>
      <c r="X7" s="1" t="s">
        <v>138</v>
      </c>
      <c r="Y7" s="1"/>
      <c r="Z7" s="1" t="s">
        <v>254</v>
      </c>
      <c r="AA7" s="1" t="s">
        <v>73</v>
      </c>
      <c r="AB7" s="1" t="s">
        <v>137</v>
      </c>
      <c r="AC7" s="1" t="s">
        <v>138</v>
      </c>
      <c r="AD7" s="1" t="s">
        <v>240</v>
      </c>
      <c r="AE7" s="1" t="s">
        <v>377</v>
      </c>
      <c r="AF7" s="1" t="s">
        <v>112</v>
      </c>
      <c r="AG7" s="1" t="s">
        <v>124</v>
      </c>
      <c r="AH7" s="1" t="s">
        <v>389</v>
      </c>
      <c r="AI7" s="1" t="s">
        <v>103</v>
      </c>
      <c r="AJ7" s="1" t="s">
        <v>267</v>
      </c>
      <c r="AK7" s="1" t="s">
        <v>181</v>
      </c>
      <c r="AL7" s="1" t="s">
        <v>94</v>
      </c>
      <c r="AM7" s="1" t="s">
        <v>49</v>
      </c>
      <c r="AN7" s="1" t="s">
        <v>98</v>
      </c>
      <c r="AO7" s="1" t="s">
        <v>160</v>
      </c>
    </row>
    <row r="8" spans="1:41" x14ac:dyDescent="0.25">
      <c r="A8" s="1" t="s">
        <v>92</v>
      </c>
      <c r="B8" s="1" t="s">
        <v>92</v>
      </c>
      <c r="C8" s="1" t="s">
        <v>390</v>
      </c>
      <c r="D8" s="1"/>
      <c r="E8" s="1" t="s">
        <v>51</v>
      </c>
      <c r="F8" s="1" t="s">
        <v>65</v>
      </c>
      <c r="G8" s="5" t="s">
        <v>100</v>
      </c>
      <c r="H8" s="1" t="s">
        <v>198</v>
      </c>
      <c r="I8" s="1" t="s">
        <v>244</v>
      </c>
      <c r="J8" s="1" t="s">
        <v>391</v>
      </c>
      <c r="K8" s="1" t="s">
        <v>69</v>
      </c>
      <c r="L8" s="1" t="s">
        <v>124</v>
      </c>
      <c r="M8" s="1" t="s">
        <v>211</v>
      </c>
      <c r="N8" s="1" t="s">
        <v>392</v>
      </c>
      <c r="O8" s="1" t="s">
        <v>195</v>
      </c>
      <c r="P8" s="1" t="s">
        <v>208</v>
      </c>
      <c r="Q8" s="1" t="s">
        <v>393</v>
      </c>
      <c r="R8" s="1" t="s">
        <v>92</v>
      </c>
      <c r="S8" s="1" t="s">
        <v>272</v>
      </c>
      <c r="T8" s="1" t="s">
        <v>184</v>
      </c>
      <c r="U8" s="1" t="s">
        <v>78</v>
      </c>
      <c r="V8" s="1" t="s">
        <v>98</v>
      </c>
      <c r="W8" s="1" t="s">
        <v>160</v>
      </c>
      <c r="X8" s="1" t="s">
        <v>181</v>
      </c>
      <c r="Y8" s="1"/>
      <c r="Z8" s="1" t="s">
        <v>254</v>
      </c>
      <c r="AA8" s="1" t="s">
        <v>127</v>
      </c>
      <c r="AB8" s="1" t="s">
        <v>281</v>
      </c>
      <c r="AC8" s="1" t="s">
        <v>112</v>
      </c>
      <c r="AD8" s="1" t="s">
        <v>215</v>
      </c>
      <c r="AE8" s="1" t="s">
        <v>394</v>
      </c>
      <c r="AF8" s="1" t="s">
        <v>184</v>
      </c>
      <c r="AG8" s="1" t="s">
        <v>220</v>
      </c>
      <c r="AH8" s="1" t="s">
        <v>395</v>
      </c>
      <c r="AI8" s="1" t="s">
        <v>119</v>
      </c>
      <c r="AJ8" s="1" t="s">
        <v>269</v>
      </c>
      <c r="AK8" s="1" t="s">
        <v>190</v>
      </c>
      <c r="AL8" s="1" t="s">
        <v>98</v>
      </c>
      <c r="AM8" s="1" t="s">
        <v>49</v>
      </c>
      <c r="AN8" s="1" t="s">
        <v>92</v>
      </c>
      <c r="AO8" s="1" t="s">
        <v>171</v>
      </c>
    </row>
    <row r="9" spans="1:41" x14ac:dyDescent="0.25">
      <c r="A9" s="1" t="s">
        <v>94</v>
      </c>
      <c r="B9" s="1" t="s">
        <v>94</v>
      </c>
      <c r="C9" s="1" t="s">
        <v>396</v>
      </c>
      <c r="D9" s="1"/>
      <c r="E9" s="1" t="s">
        <v>197</v>
      </c>
      <c r="F9" s="1" t="s">
        <v>52</v>
      </c>
      <c r="G9" s="5" t="s">
        <v>228</v>
      </c>
      <c r="H9" s="1" t="s">
        <v>245</v>
      </c>
      <c r="I9" s="1" t="s">
        <v>273</v>
      </c>
      <c r="J9" s="1" t="s">
        <v>73</v>
      </c>
      <c r="K9" s="1" t="s">
        <v>232</v>
      </c>
      <c r="L9" s="1" t="s">
        <v>124</v>
      </c>
      <c r="M9" s="1" t="s">
        <v>230</v>
      </c>
      <c r="N9" s="1" t="s">
        <v>397</v>
      </c>
      <c r="O9" s="1" t="s">
        <v>112</v>
      </c>
      <c r="P9" s="1" t="s">
        <v>138</v>
      </c>
      <c r="Q9" s="1" t="s">
        <v>398</v>
      </c>
      <c r="R9" s="1" t="s">
        <v>94</v>
      </c>
      <c r="S9" s="1" t="s">
        <v>272</v>
      </c>
      <c r="T9" s="1" t="s">
        <v>208</v>
      </c>
      <c r="U9" s="1" t="s">
        <v>108</v>
      </c>
      <c r="V9" s="1" t="s">
        <v>78</v>
      </c>
      <c r="W9" s="1" t="s">
        <v>112</v>
      </c>
      <c r="X9" s="1" t="s">
        <v>171</v>
      </c>
      <c r="Y9" s="1"/>
      <c r="Z9" s="1" t="s">
        <v>215</v>
      </c>
      <c r="AA9" s="1" t="s">
        <v>387</v>
      </c>
      <c r="AB9" s="1" t="s">
        <v>83</v>
      </c>
      <c r="AC9" s="1" t="s">
        <v>108</v>
      </c>
      <c r="AD9" s="1" t="s">
        <v>220</v>
      </c>
      <c r="AE9" s="1" t="s">
        <v>399</v>
      </c>
      <c r="AF9" s="1" t="s">
        <v>156</v>
      </c>
      <c r="AG9" s="1" t="s">
        <v>190</v>
      </c>
      <c r="AH9" s="1" t="s">
        <v>400</v>
      </c>
      <c r="AI9" s="1" t="s">
        <v>98</v>
      </c>
      <c r="AJ9" s="1" t="s">
        <v>247</v>
      </c>
      <c r="AK9" s="1" t="s">
        <v>142</v>
      </c>
      <c r="AL9" s="1" t="s">
        <v>85</v>
      </c>
      <c r="AM9" s="1" t="s">
        <v>49</v>
      </c>
      <c r="AN9" s="1" t="s">
        <v>131</v>
      </c>
      <c r="AO9" s="1" t="s">
        <v>150</v>
      </c>
    </row>
    <row r="10" spans="1:41" x14ac:dyDescent="0.25">
      <c r="A10" s="1" t="s">
        <v>98</v>
      </c>
      <c r="B10" s="1" t="s">
        <v>98</v>
      </c>
      <c r="C10" s="1" t="s">
        <v>99</v>
      </c>
      <c r="D10" s="1"/>
      <c r="E10" s="1" t="s">
        <v>401</v>
      </c>
      <c r="F10" s="1" t="s">
        <v>52</v>
      </c>
      <c r="G10" s="5" t="s">
        <v>100</v>
      </c>
      <c r="H10" s="1" t="s">
        <v>59</v>
      </c>
      <c r="I10" s="1" t="s">
        <v>256</v>
      </c>
      <c r="J10" s="1" t="s">
        <v>218</v>
      </c>
      <c r="K10" s="1" t="s">
        <v>402</v>
      </c>
      <c r="L10" s="1" t="s">
        <v>131</v>
      </c>
      <c r="M10" s="1" t="s">
        <v>235</v>
      </c>
      <c r="N10" s="1" t="s">
        <v>173</v>
      </c>
      <c r="O10" s="1" t="s">
        <v>156</v>
      </c>
      <c r="P10" s="1" t="s">
        <v>200</v>
      </c>
      <c r="Q10" s="1" t="s">
        <v>403</v>
      </c>
      <c r="R10" s="1" t="s">
        <v>108</v>
      </c>
      <c r="S10" s="1" t="s">
        <v>267</v>
      </c>
      <c r="T10" s="1" t="s">
        <v>204</v>
      </c>
      <c r="U10" s="1" t="s">
        <v>108</v>
      </c>
      <c r="V10" s="1" t="s">
        <v>92</v>
      </c>
      <c r="W10" s="1" t="s">
        <v>112</v>
      </c>
      <c r="X10" s="1" t="s">
        <v>142</v>
      </c>
      <c r="Y10" s="1"/>
      <c r="Z10" s="1" t="s">
        <v>247</v>
      </c>
      <c r="AA10" s="1" t="s">
        <v>404</v>
      </c>
      <c r="AB10" s="1" t="s">
        <v>107</v>
      </c>
      <c r="AC10" s="1" t="s">
        <v>98</v>
      </c>
      <c r="AD10" s="1" t="s">
        <v>189</v>
      </c>
      <c r="AE10" s="1" t="s">
        <v>135</v>
      </c>
      <c r="AF10" s="1" t="s">
        <v>150</v>
      </c>
      <c r="AG10" s="1" t="s">
        <v>160</v>
      </c>
      <c r="AH10" s="1" t="s">
        <v>405</v>
      </c>
      <c r="AI10" s="1" t="s">
        <v>70</v>
      </c>
      <c r="AJ10" s="1" t="s">
        <v>264</v>
      </c>
      <c r="AK10" s="1" t="s">
        <v>175</v>
      </c>
      <c r="AL10" s="1" t="s">
        <v>85</v>
      </c>
      <c r="AM10" s="1" t="s">
        <v>85</v>
      </c>
      <c r="AN10" s="1" t="s">
        <v>160</v>
      </c>
      <c r="AO10" s="1" t="s">
        <v>184</v>
      </c>
    </row>
    <row r="11" spans="1:41" x14ac:dyDescent="0.25">
      <c r="A11" s="1" t="s">
        <v>103</v>
      </c>
      <c r="B11" s="1" t="s">
        <v>103</v>
      </c>
      <c r="C11" s="1" t="s">
        <v>406</v>
      </c>
      <c r="D11" s="1" t="s">
        <v>57</v>
      </c>
      <c r="E11" s="1" t="s">
        <v>126</v>
      </c>
      <c r="F11" s="1" t="s">
        <v>65</v>
      </c>
      <c r="G11" s="5" t="s">
        <v>140</v>
      </c>
      <c r="H11" s="1" t="s">
        <v>106</v>
      </c>
      <c r="I11" s="1" t="s">
        <v>239</v>
      </c>
      <c r="J11" s="1" t="s">
        <v>391</v>
      </c>
      <c r="K11" s="1" t="s">
        <v>407</v>
      </c>
      <c r="L11" s="1" t="s">
        <v>124</v>
      </c>
      <c r="M11" s="1" t="s">
        <v>208</v>
      </c>
      <c r="N11" s="1" t="s">
        <v>194</v>
      </c>
      <c r="O11" s="1" t="s">
        <v>160</v>
      </c>
      <c r="P11" s="1" t="s">
        <v>165</v>
      </c>
      <c r="Q11" s="1" t="s">
        <v>408</v>
      </c>
      <c r="R11" s="1" t="s">
        <v>70</v>
      </c>
      <c r="S11" s="1" t="s">
        <v>251</v>
      </c>
      <c r="T11" s="1" t="s">
        <v>189</v>
      </c>
      <c r="U11" s="1" t="s">
        <v>85</v>
      </c>
      <c r="V11" s="1" t="s">
        <v>70</v>
      </c>
      <c r="W11" s="1" t="s">
        <v>160</v>
      </c>
      <c r="X11" s="1" t="s">
        <v>119</v>
      </c>
      <c r="Y11" s="1"/>
      <c r="Z11" s="1" t="s">
        <v>260</v>
      </c>
      <c r="AA11" s="1" t="s">
        <v>259</v>
      </c>
      <c r="AB11" s="1" t="s">
        <v>250</v>
      </c>
      <c r="AC11" s="1" t="s">
        <v>119</v>
      </c>
      <c r="AD11" s="1" t="s">
        <v>211</v>
      </c>
      <c r="AE11" s="1" t="s">
        <v>409</v>
      </c>
      <c r="AF11" s="1" t="s">
        <v>112</v>
      </c>
      <c r="AG11" s="1" t="s">
        <v>124</v>
      </c>
      <c r="AH11" s="1" t="s">
        <v>389</v>
      </c>
      <c r="AI11" s="1" t="s">
        <v>112</v>
      </c>
      <c r="AJ11" s="1" t="s">
        <v>262</v>
      </c>
      <c r="AK11" s="1" t="s">
        <v>200</v>
      </c>
      <c r="AL11" s="1" t="s">
        <v>124</v>
      </c>
      <c r="AM11" s="1" t="s">
        <v>85</v>
      </c>
      <c r="AN11" s="1" t="s">
        <v>112</v>
      </c>
      <c r="AO11" s="1" t="s">
        <v>150</v>
      </c>
    </row>
    <row r="12" spans="1:41" x14ac:dyDescent="0.25">
      <c r="A12" s="1" t="s">
        <v>108</v>
      </c>
      <c r="B12" s="1" t="s">
        <v>108</v>
      </c>
      <c r="C12" s="1" t="s">
        <v>410</v>
      </c>
      <c r="D12" s="1"/>
      <c r="E12" s="1" t="s">
        <v>277</v>
      </c>
      <c r="F12" s="1" t="s">
        <v>65</v>
      </c>
      <c r="G12" s="5" t="s">
        <v>80</v>
      </c>
      <c r="H12" s="1" t="s">
        <v>252</v>
      </c>
      <c r="I12" s="1" t="s">
        <v>254</v>
      </c>
      <c r="J12" s="1" t="s">
        <v>411</v>
      </c>
      <c r="K12" s="1" t="s">
        <v>146</v>
      </c>
      <c r="L12" s="1" t="s">
        <v>103</v>
      </c>
      <c r="M12" s="1" t="s">
        <v>220</v>
      </c>
      <c r="N12" s="1" t="s">
        <v>159</v>
      </c>
      <c r="O12" s="1" t="s">
        <v>160</v>
      </c>
      <c r="P12" s="1" t="s">
        <v>181</v>
      </c>
      <c r="Q12" s="1" t="s">
        <v>412</v>
      </c>
      <c r="R12" s="1" t="s">
        <v>85</v>
      </c>
      <c r="S12" s="1" t="s">
        <v>254</v>
      </c>
      <c r="T12" s="1" t="s">
        <v>175</v>
      </c>
      <c r="U12" s="1" t="s">
        <v>49</v>
      </c>
      <c r="V12" s="1" t="s">
        <v>48</v>
      </c>
      <c r="W12" s="1" t="s">
        <v>142</v>
      </c>
      <c r="X12" s="1" t="s">
        <v>150</v>
      </c>
      <c r="Y12" s="1"/>
      <c r="Z12" s="1" t="s">
        <v>269</v>
      </c>
      <c r="AA12" s="1" t="s">
        <v>301</v>
      </c>
      <c r="AB12" s="1" t="s">
        <v>413</v>
      </c>
      <c r="AC12" s="1" t="s">
        <v>131</v>
      </c>
      <c r="AD12" s="1" t="s">
        <v>240</v>
      </c>
      <c r="AE12" s="1" t="s">
        <v>414</v>
      </c>
      <c r="AF12" s="1" t="s">
        <v>138</v>
      </c>
      <c r="AG12" s="1" t="s">
        <v>142</v>
      </c>
      <c r="AH12" s="1" t="s">
        <v>415</v>
      </c>
      <c r="AI12" s="1" t="s">
        <v>49</v>
      </c>
      <c r="AJ12" s="1" t="s">
        <v>220</v>
      </c>
      <c r="AK12" s="1" t="s">
        <v>181</v>
      </c>
      <c r="AL12" s="1" t="s">
        <v>112</v>
      </c>
      <c r="AM12" s="1" t="s">
        <v>70</v>
      </c>
      <c r="AN12" s="1" t="s">
        <v>103</v>
      </c>
      <c r="AO12" s="1" t="s">
        <v>171</v>
      </c>
    </row>
    <row r="13" spans="1:41" x14ac:dyDescent="0.25">
      <c r="A13" s="1" t="s">
        <v>112</v>
      </c>
      <c r="B13" s="1" t="s">
        <v>112</v>
      </c>
      <c r="C13" s="1" t="s">
        <v>113</v>
      </c>
      <c r="D13" s="1"/>
      <c r="E13" s="1" t="s">
        <v>104</v>
      </c>
      <c r="F13" s="1" t="s">
        <v>52</v>
      </c>
      <c r="G13" s="5" t="s">
        <v>100</v>
      </c>
      <c r="H13" s="1" t="s">
        <v>80</v>
      </c>
      <c r="I13" s="1" t="s">
        <v>267</v>
      </c>
      <c r="J13" s="1" t="s">
        <v>416</v>
      </c>
      <c r="K13" s="1" t="s">
        <v>417</v>
      </c>
      <c r="L13" s="1" t="s">
        <v>138</v>
      </c>
      <c r="M13" s="1" t="s">
        <v>211</v>
      </c>
      <c r="N13" s="1" t="s">
        <v>219</v>
      </c>
      <c r="O13" s="1" t="s">
        <v>103</v>
      </c>
      <c r="P13" s="1" t="s">
        <v>131</v>
      </c>
      <c r="Q13" s="1" t="s">
        <v>418</v>
      </c>
      <c r="R13" s="1" t="s">
        <v>94</v>
      </c>
      <c r="S13" s="1" t="s">
        <v>247</v>
      </c>
      <c r="T13" s="1" t="s">
        <v>208</v>
      </c>
      <c r="U13" s="1" t="s">
        <v>85</v>
      </c>
      <c r="V13" s="1" t="s">
        <v>85</v>
      </c>
      <c r="W13" s="1" t="s">
        <v>150</v>
      </c>
      <c r="X13" s="1" t="s">
        <v>150</v>
      </c>
      <c r="Y13" s="1"/>
      <c r="Z13" s="1" t="s">
        <v>256</v>
      </c>
      <c r="AA13" s="1" t="s">
        <v>419</v>
      </c>
      <c r="AB13" s="1" t="s">
        <v>219</v>
      </c>
      <c r="AC13" s="1" t="s">
        <v>150</v>
      </c>
      <c r="AD13" s="1" t="s">
        <v>235</v>
      </c>
      <c r="AE13" s="1" t="s">
        <v>420</v>
      </c>
      <c r="AF13" s="1" t="s">
        <v>103</v>
      </c>
      <c r="AG13" s="1" t="s">
        <v>138</v>
      </c>
      <c r="AH13" s="1" t="s">
        <v>421</v>
      </c>
      <c r="AI13" s="1" t="s">
        <v>98</v>
      </c>
      <c r="AJ13" s="1" t="s">
        <v>211</v>
      </c>
      <c r="AK13" s="1" t="s">
        <v>195</v>
      </c>
      <c r="AL13" s="1" t="s">
        <v>112</v>
      </c>
      <c r="AM13" s="1" t="s">
        <v>78</v>
      </c>
      <c r="AN13" s="1" t="s">
        <v>119</v>
      </c>
      <c r="AO13" s="1" t="s">
        <v>150</v>
      </c>
    </row>
    <row r="14" spans="1:41" x14ac:dyDescent="0.25">
      <c r="A14" s="1" t="s">
        <v>119</v>
      </c>
      <c r="B14" s="1" t="s">
        <v>119</v>
      </c>
      <c r="C14" s="1" t="s">
        <v>422</v>
      </c>
      <c r="D14" s="1" t="s">
        <v>57</v>
      </c>
      <c r="E14" s="1" t="s">
        <v>58</v>
      </c>
      <c r="F14" s="1" t="s">
        <v>52</v>
      </c>
      <c r="G14" s="5" t="s">
        <v>80</v>
      </c>
      <c r="H14" s="1" t="s">
        <v>59</v>
      </c>
      <c r="I14" s="1" t="s">
        <v>256</v>
      </c>
      <c r="J14" s="1" t="s">
        <v>423</v>
      </c>
      <c r="K14" s="1" t="s">
        <v>91</v>
      </c>
      <c r="L14" s="1" t="s">
        <v>138</v>
      </c>
      <c r="M14" s="1" t="s">
        <v>244</v>
      </c>
      <c r="N14" s="1" t="s">
        <v>424</v>
      </c>
      <c r="O14" s="1" t="s">
        <v>112</v>
      </c>
      <c r="P14" s="1" t="s">
        <v>142</v>
      </c>
      <c r="Q14" s="1" t="s">
        <v>425</v>
      </c>
      <c r="R14" s="1" t="s">
        <v>112</v>
      </c>
      <c r="S14" s="1" t="s">
        <v>262</v>
      </c>
      <c r="T14" s="1" t="s">
        <v>200</v>
      </c>
      <c r="U14" s="1" t="s">
        <v>49</v>
      </c>
      <c r="V14" s="1" t="s">
        <v>78</v>
      </c>
      <c r="W14" s="1" t="s">
        <v>85</v>
      </c>
      <c r="X14" s="1" t="s">
        <v>112</v>
      </c>
      <c r="Y14" s="1"/>
      <c r="Z14" s="1" t="s">
        <v>256</v>
      </c>
      <c r="AA14" s="1" t="s">
        <v>81</v>
      </c>
      <c r="AB14" s="1" t="s">
        <v>426</v>
      </c>
      <c r="AC14" s="1" t="s">
        <v>108</v>
      </c>
      <c r="AD14" s="1" t="s">
        <v>195</v>
      </c>
      <c r="AE14" s="1" t="s">
        <v>74</v>
      </c>
      <c r="AF14" s="1" t="s">
        <v>103</v>
      </c>
      <c r="AG14" s="1" t="s">
        <v>112</v>
      </c>
      <c r="AH14" s="1" t="s">
        <v>412</v>
      </c>
      <c r="AI14" s="1" t="s">
        <v>112</v>
      </c>
      <c r="AJ14" s="1" t="s">
        <v>254</v>
      </c>
      <c r="AK14" s="1" t="s">
        <v>171</v>
      </c>
      <c r="AL14" s="1" t="s">
        <v>70</v>
      </c>
      <c r="AM14" s="1" t="s">
        <v>49</v>
      </c>
      <c r="AN14" s="1" t="s">
        <v>98</v>
      </c>
      <c r="AO14" s="1" t="s">
        <v>138</v>
      </c>
    </row>
    <row r="15" spans="1:41" x14ac:dyDescent="0.25">
      <c r="A15" s="1" t="s">
        <v>124</v>
      </c>
      <c r="B15" s="1" t="s">
        <v>124</v>
      </c>
      <c r="C15" s="1" t="s">
        <v>125</v>
      </c>
      <c r="D15" s="1"/>
      <c r="E15" s="1" t="s">
        <v>79</v>
      </c>
      <c r="F15" s="1" t="s">
        <v>52</v>
      </c>
      <c r="G15" s="5" t="s">
        <v>100</v>
      </c>
      <c r="H15" s="1" t="s">
        <v>106</v>
      </c>
      <c r="I15" s="1" t="s">
        <v>251</v>
      </c>
      <c r="J15" s="1" t="s">
        <v>427</v>
      </c>
      <c r="K15" s="1" t="s">
        <v>203</v>
      </c>
      <c r="L15" s="1" t="s">
        <v>138</v>
      </c>
      <c r="M15" s="1" t="s">
        <v>226</v>
      </c>
      <c r="N15" s="1" t="s">
        <v>155</v>
      </c>
      <c r="O15" s="1" t="s">
        <v>171</v>
      </c>
      <c r="P15" s="1" t="s">
        <v>184</v>
      </c>
      <c r="Q15" s="1" t="s">
        <v>428</v>
      </c>
      <c r="R15" s="1" t="s">
        <v>70</v>
      </c>
      <c r="S15" s="1" t="s">
        <v>247</v>
      </c>
      <c r="T15" s="1" t="s">
        <v>181</v>
      </c>
      <c r="U15" s="1" t="s">
        <v>98</v>
      </c>
      <c r="V15" s="1" t="s">
        <v>78</v>
      </c>
      <c r="W15" s="1" t="s">
        <v>156</v>
      </c>
      <c r="X15" s="1" t="s">
        <v>124</v>
      </c>
      <c r="Y15" s="1"/>
      <c r="Z15" s="1" t="s">
        <v>256</v>
      </c>
      <c r="AA15" s="1" t="s">
        <v>265</v>
      </c>
      <c r="AB15" s="1" t="s">
        <v>383</v>
      </c>
      <c r="AC15" s="1" t="s">
        <v>124</v>
      </c>
      <c r="AD15" s="1" t="s">
        <v>262</v>
      </c>
      <c r="AE15" s="1" t="s">
        <v>89</v>
      </c>
      <c r="AF15" s="1" t="s">
        <v>119</v>
      </c>
      <c r="AG15" s="1" t="s">
        <v>138</v>
      </c>
      <c r="AH15" s="1" t="s">
        <v>365</v>
      </c>
      <c r="AI15" s="1" t="s">
        <v>98</v>
      </c>
      <c r="AJ15" s="1" t="s">
        <v>239</v>
      </c>
      <c r="AK15" s="1" t="s">
        <v>195</v>
      </c>
      <c r="AL15" s="1" t="s">
        <v>119</v>
      </c>
      <c r="AM15" s="1" t="s">
        <v>70</v>
      </c>
      <c r="AN15" s="1" t="s">
        <v>112</v>
      </c>
      <c r="AO15" s="1" t="s">
        <v>156</v>
      </c>
    </row>
    <row r="16" spans="1:41" x14ac:dyDescent="0.25">
      <c r="A16" s="1" t="s">
        <v>131</v>
      </c>
      <c r="B16" s="1" t="s">
        <v>131</v>
      </c>
      <c r="C16" s="1" t="s">
        <v>429</v>
      </c>
      <c r="D16" s="1"/>
      <c r="E16" s="1" t="s">
        <v>249</v>
      </c>
      <c r="F16" s="1" t="s">
        <v>52</v>
      </c>
      <c r="G16" s="5" t="s">
        <v>120</v>
      </c>
      <c r="H16" s="1" t="s">
        <v>198</v>
      </c>
      <c r="I16" s="1" t="s">
        <v>262</v>
      </c>
      <c r="J16" s="1" t="s">
        <v>430</v>
      </c>
      <c r="K16" s="1" t="s">
        <v>170</v>
      </c>
      <c r="L16" s="1" t="s">
        <v>131</v>
      </c>
      <c r="M16" s="1" t="s">
        <v>208</v>
      </c>
      <c r="N16" s="1" t="s">
        <v>91</v>
      </c>
      <c r="O16" s="1" t="s">
        <v>150</v>
      </c>
      <c r="P16" s="1" t="s">
        <v>165</v>
      </c>
      <c r="Q16" s="1" t="s">
        <v>389</v>
      </c>
      <c r="R16" s="1" t="s">
        <v>92</v>
      </c>
      <c r="S16" s="1" t="s">
        <v>269</v>
      </c>
      <c r="T16" s="1" t="s">
        <v>189</v>
      </c>
      <c r="U16" s="1" t="s">
        <v>48</v>
      </c>
      <c r="V16" s="1" t="s">
        <v>78</v>
      </c>
      <c r="W16" s="1" t="s">
        <v>142</v>
      </c>
      <c r="X16" s="1" t="s">
        <v>156</v>
      </c>
      <c r="Y16" s="1"/>
      <c r="Z16" s="1" t="s">
        <v>262</v>
      </c>
      <c r="AA16" s="1" t="s">
        <v>177</v>
      </c>
      <c r="AB16" s="1" t="s">
        <v>392</v>
      </c>
      <c r="AC16" s="1" t="s">
        <v>108</v>
      </c>
      <c r="AD16" s="1" t="s">
        <v>239</v>
      </c>
      <c r="AE16" s="1" t="s">
        <v>431</v>
      </c>
      <c r="AF16" s="1" t="s">
        <v>160</v>
      </c>
      <c r="AG16" s="1" t="s">
        <v>181</v>
      </c>
      <c r="AH16" s="1" t="s">
        <v>412</v>
      </c>
      <c r="AI16" s="1" t="s">
        <v>108</v>
      </c>
      <c r="AJ16" s="1" t="s">
        <v>247</v>
      </c>
      <c r="AK16" s="1" t="s">
        <v>165</v>
      </c>
      <c r="AL16" s="1" t="s">
        <v>98</v>
      </c>
      <c r="AM16" s="1" t="s">
        <v>48</v>
      </c>
      <c r="AN16" s="1" t="s">
        <v>78</v>
      </c>
      <c r="AO16" s="1" t="s">
        <v>131</v>
      </c>
    </row>
    <row r="17" spans="1:41" x14ac:dyDescent="0.25">
      <c r="A17" s="1" t="s">
        <v>138</v>
      </c>
      <c r="B17" s="1" t="s">
        <v>138</v>
      </c>
      <c r="C17" s="1" t="s">
        <v>132</v>
      </c>
      <c r="D17" s="1" t="s">
        <v>57</v>
      </c>
      <c r="E17" s="1" t="s">
        <v>64</v>
      </c>
      <c r="F17" s="1" t="s">
        <v>65</v>
      </c>
      <c r="G17" s="5" t="s">
        <v>315</v>
      </c>
      <c r="H17" s="1" t="s">
        <v>432</v>
      </c>
      <c r="I17" s="1" t="s">
        <v>267</v>
      </c>
      <c r="J17" s="1" t="s">
        <v>128</v>
      </c>
      <c r="K17" s="1" t="s">
        <v>210</v>
      </c>
      <c r="L17" s="1" t="s">
        <v>131</v>
      </c>
      <c r="M17" s="1" t="s">
        <v>247</v>
      </c>
      <c r="N17" s="1" t="s">
        <v>326</v>
      </c>
      <c r="O17" s="1" t="s">
        <v>181</v>
      </c>
      <c r="P17" s="1" t="s">
        <v>190</v>
      </c>
      <c r="Q17" s="1" t="s">
        <v>433</v>
      </c>
      <c r="R17" s="1" t="s">
        <v>119</v>
      </c>
      <c r="S17" s="1" t="s">
        <v>273</v>
      </c>
      <c r="T17" s="1" t="s">
        <v>204</v>
      </c>
      <c r="U17" s="1" t="s">
        <v>94</v>
      </c>
      <c r="V17" s="1" t="s">
        <v>108</v>
      </c>
      <c r="W17" s="1" t="s">
        <v>138</v>
      </c>
      <c r="X17" s="1" t="s">
        <v>181</v>
      </c>
      <c r="Y17" s="1"/>
      <c r="Z17" s="1" t="s">
        <v>286</v>
      </c>
      <c r="AA17" s="1" t="s">
        <v>59</v>
      </c>
      <c r="AB17" s="1" t="s">
        <v>434</v>
      </c>
      <c r="AC17" s="1" t="s">
        <v>160</v>
      </c>
      <c r="AD17" s="1" t="s">
        <v>244</v>
      </c>
      <c r="AE17" s="1" t="s">
        <v>219</v>
      </c>
      <c r="AF17" s="1" t="s">
        <v>131</v>
      </c>
      <c r="AG17" s="1" t="s">
        <v>165</v>
      </c>
      <c r="AH17" s="1" t="s">
        <v>435</v>
      </c>
      <c r="AI17" s="1" t="s">
        <v>112</v>
      </c>
      <c r="AJ17" s="1" t="s">
        <v>270</v>
      </c>
      <c r="AK17" s="1" t="s">
        <v>200</v>
      </c>
      <c r="AL17" s="1" t="s">
        <v>103</v>
      </c>
      <c r="AM17" s="1" t="s">
        <v>85</v>
      </c>
      <c r="AN17" s="1" t="s">
        <v>124</v>
      </c>
      <c r="AO17" s="1" t="s">
        <v>165</v>
      </c>
    </row>
    <row r="18" spans="1:41" x14ac:dyDescent="0.25">
      <c r="A18" s="1" t="s">
        <v>142</v>
      </c>
      <c r="B18" s="1" t="s">
        <v>142</v>
      </c>
      <c r="C18" s="1" t="s">
        <v>139</v>
      </c>
      <c r="D18" s="1" t="s">
        <v>57</v>
      </c>
      <c r="E18" s="1" t="s">
        <v>64</v>
      </c>
      <c r="F18" s="1" t="s">
        <v>65</v>
      </c>
      <c r="G18" s="5" t="s">
        <v>53</v>
      </c>
      <c r="H18" s="1" t="s">
        <v>120</v>
      </c>
      <c r="I18" s="1" t="s">
        <v>251</v>
      </c>
      <c r="J18" s="1" t="s">
        <v>404</v>
      </c>
      <c r="K18" s="1" t="s">
        <v>323</v>
      </c>
      <c r="L18" s="1" t="s">
        <v>124</v>
      </c>
      <c r="M18" s="1" t="s">
        <v>254</v>
      </c>
      <c r="N18" s="1" t="s">
        <v>436</v>
      </c>
      <c r="O18" s="1" t="s">
        <v>131</v>
      </c>
      <c r="P18" s="1" t="s">
        <v>142</v>
      </c>
      <c r="Q18" s="1" t="s">
        <v>378</v>
      </c>
      <c r="R18" s="1" t="s">
        <v>85</v>
      </c>
      <c r="S18" s="1" t="s">
        <v>200</v>
      </c>
      <c r="T18" s="1" t="s">
        <v>175</v>
      </c>
      <c r="U18" s="1" t="s">
        <v>78</v>
      </c>
      <c r="V18" s="1" t="s">
        <v>94</v>
      </c>
      <c r="W18" s="1" t="s">
        <v>108</v>
      </c>
      <c r="X18" s="1" t="s">
        <v>184</v>
      </c>
      <c r="Y18" s="1"/>
      <c r="Z18" s="1" t="s">
        <v>260</v>
      </c>
      <c r="AA18" s="1" t="s">
        <v>404</v>
      </c>
      <c r="AB18" s="1" t="s">
        <v>56</v>
      </c>
      <c r="AC18" s="1" t="s">
        <v>94</v>
      </c>
      <c r="AD18" s="1" t="s">
        <v>184</v>
      </c>
      <c r="AE18" s="1" t="s">
        <v>237</v>
      </c>
      <c r="AF18" s="1" t="s">
        <v>190</v>
      </c>
      <c r="AG18" s="1" t="s">
        <v>211</v>
      </c>
      <c r="AH18" s="1" t="s">
        <v>437</v>
      </c>
      <c r="AI18" s="1" t="s">
        <v>119</v>
      </c>
      <c r="AJ18" s="1" t="s">
        <v>270</v>
      </c>
      <c r="AK18" s="1" t="s">
        <v>181</v>
      </c>
      <c r="AL18" s="1" t="s">
        <v>92</v>
      </c>
      <c r="AM18" s="1" t="s">
        <v>49</v>
      </c>
      <c r="AN18" s="1" t="s">
        <v>112</v>
      </c>
      <c r="AO18" s="1" t="s">
        <v>150</v>
      </c>
    </row>
    <row r="19" spans="1:41" x14ac:dyDescent="0.25">
      <c r="A19" s="1" t="s">
        <v>150</v>
      </c>
      <c r="B19" s="1" t="s">
        <v>150</v>
      </c>
      <c r="C19" s="1" t="s">
        <v>143</v>
      </c>
      <c r="D19" s="1"/>
      <c r="E19" s="1" t="s">
        <v>114</v>
      </c>
      <c r="F19" s="1" t="s">
        <v>52</v>
      </c>
      <c r="G19" s="5" t="s">
        <v>329</v>
      </c>
      <c r="H19" s="1" t="s">
        <v>183</v>
      </c>
      <c r="I19" s="1" t="s">
        <v>256</v>
      </c>
      <c r="J19" s="1" t="s">
        <v>303</v>
      </c>
      <c r="K19" s="1" t="s">
        <v>68</v>
      </c>
      <c r="L19" s="1" t="s">
        <v>156</v>
      </c>
      <c r="M19" s="1" t="s">
        <v>235</v>
      </c>
      <c r="N19" s="1" t="s">
        <v>434</v>
      </c>
      <c r="O19" s="1" t="s">
        <v>165</v>
      </c>
      <c r="P19" s="1" t="s">
        <v>189</v>
      </c>
      <c r="Q19" s="1" t="s">
        <v>438</v>
      </c>
      <c r="R19" s="1" t="s">
        <v>98</v>
      </c>
      <c r="S19" s="1" t="s">
        <v>264</v>
      </c>
      <c r="T19" s="1" t="s">
        <v>220</v>
      </c>
      <c r="U19" s="1" t="s">
        <v>439</v>
      </c>
      <c r="V19" s="1" t="s">
        <v>85</v>
      </c>
      <c r="W19" s="1" t="s">
        <v>138</v>
      </c>
      <c r="X19" s="1" t="s">
        <v>189</v>
      </c>
      <c r="Y19" s="1"/>
      <c r="Z19" s="1" t="s">
        <v>251</v>
      </c>
      <c r="AA19" s="1" t="s">
        <v>60</v>
      </c>
      <c r="AB19" s="1" t="s">
        <v>246</v>
      </c>
      <c r="AC19" s="1" t="s">
        <v>119</v>
      </c>
      <c r="AD19" s="1" t="s">
        <v>262</v>
      </c>
      <c r="AE19" s="1" t="s">
        <v>168</v>
      </c>
      <c r="AF19" s="1" t="s">
        <v>190</v>
      </c>
      <c r="AG19" s="1" t="s">
        <v>211</v>
      </c>
      <c r="AH19" s="1" t="s">
        <v>437</v>
      </c>
      <c r="AI19" s="1" t="s">
        <v>48</v>
      </c>
      <c r="AJ19" s="1" t="s">
        <v>208</v>
      </c>
      <c r="AK19" s="1" t="s">
        <v>200</v>
      </c>
      <c r="AL19" s="1" t="s">
        <v>92</v>
      </c>
      <c r="AM19" s="1" t="s">
        <v>50</v>
      </c>
      <c r="AN19" s="1" t="s">
        <v>94</v>
      </c>
      <c r="AO19" s="1" t="s">
        <v>175</v>
      </c>
    </row>
    <row r="20" spans="1:41" x14ac:dyDescent="0.25">
      <c r="A20" s="1" t="s">
        <v>156</v>
      </c>
      <c r="B20" s="1" t="s">
        <v>156</v>
      </c>
      <c r="C20" s="1" t="s">
        <v>151</v>
      </c>
      <c r="D20" s="1"/>
      <c r="E20" s="1" t="s">
        <v>114</v>
      </c>
      <c r="F20" s="1" t="s">
        <v>52</v>
      </c>
      <c r="G20" s="5" t="s">
        <v>259</v>
      </c>
      <c r="H20" s="1" t="s">
        <v>411</v>
      </c>
      <c r="I20" s="1" t="s">
        <v>220</v>
      </c>
      <c r="J20" s="1" t="s">
        <v>411</v>
      </c>
      <c r="K20" s="1" t="s">
        <v>424</v>
      </c>
      <c r="L20" s="1" t="s">
        <v>108</v>
      </c>
      <c r="M20" s="1" t="s">
        <v>239</v>
      </c>
      <c r="N20" s="1" t="s">
        <v>431</v>
      </c>
      <c r="O20" s="1" t="s">
        <v>156</v>
      </c>
      <c r="P20" s="1" t="s">
        <v>171</v>
      </c>
      <c r="Q20" s="1" t="s">
        <v>440</v>
      </c>
      <c r="R20" s="1" t="s">
        <v>85</v>
      </c>
      <c r="S20" s="1" t="s">
        <v>269</v>
      </c>
      <c r="T20" s="1" t="s">
        <v>181</v>
      </c>
      <c r="U20" s="1" t="s">
        <v>85</v>
      </c>
      <c r="V20" s="1" t="s">
        <v>78</v>
      </c>
      <c r="W20" s="1" t="s">
        <v>92</v>
      </c>
      <c r="X20" s="1" t="s">
        <v>150</v>
      </c>
      <c r="Y20" s="1"/>
      <c r="Z20" s="1" t="s">
        <v>208</v>
      </c>
      <c r="AA20" s="1" t="s">
        <v>430</v>
      </c>
      <c r="AB20" s="1" t="s">
        <v>75</v>
      </c>
      <c r="AC20" s="1" t="s">
        <v>108</v>
      </c>
      <c r="AD20" s="1" t="s">
        <v>254</v>
      </c>
      <c r="AE20" s="1" t="s">
        <v>149</v>
      </c>
      <c r="AF20" s="1" t="s">
        <v>112</v>
      </c>
      <c r="AG20" s="1" t="s">
        <v>142</v>
      </c>
      <c r="AH20" s="1" t="s">
        <v>425</v>
      </c>
      <c r="AI20" s="1" t="s">
        <v>94</v>
      </c>
      <c r="AJ20" s="1" t="s">
        <v>260</v>
      </c>
      <c r="AK20" s="1" t="s">
        <v>160</v>
      </c>
      <c r="AL20" s="1" t="s">
        <v>49</v>
      </c>
      <c r="AM20" s="1" t="s">
        <v>92</v>
      </c>
      <c r="AN20" s="1" t="s">
        <v>112</v>
      </c>
      <c r="AO20" s="1" t="s">
        <v>165</v>
      </c>
    </row>
    <row r="21" spans="1:41" x14ac:dyDescent="0.25">
      <c r="A21" s="1" t="s">
        <v>160</v>
      </c>
      <c r="B21" s="1" t="s">
        <v>160</v>
      </c>
      <c r="C21" s="1" t="s">
        <v>157</v>
      </c>
      <c r="D21" s="1" t="s">
        <v>57</v>
      </c>
      <c r="E21" s="1" t="s">
        <v>109</v>
      </c>
      <c r="F21" s="1" t="s">
        <v>52</v>
      </c>
      <c r="G21" s="5" t="s">
        <v>296</v>
      </c>
      <c r="H21" s="1" t="s">
        <v>329</v>
      </c>
      <c r="I21" s="1" t="s">
        <v>273</v>
      </c>
      <c r="J21" s="1" t="s">
        <v>259</v>
      </c>
      <c r="K21" s="1" t="s">
        <v>102</v>
      </c>
      <c r="L21" s="1" t="s">
        <v>108</v>
      </c>
      <c r="M21" s="1" t="s">
        <v>211</v>
      </c>
      <c r="N21" s="1" t="s">
        <v>441</v>
      </c>
      <c r="O21" s="1" t="s">
        <v>142</v>
      </c>
      <c r="P21" s="1" t="s">
        <v>160</v>
      </c>
      <c r="Q21" s="1" t="s">
        <v>442</v>
      </c>
      <c r="R21" s="1" t="s">
        <v>108</v>
      </c>
      <c r="S21" s="1" t="s">
        <v>230</v>
      </c>
      <c r="T21" s="1" t="s">
        <v>200</v>
      </c>
      <c r="U21" s="1" t="s">
        <v>92</v>
      </c>
      <c r="V21" s="1" t="s">
        <v>103</v>
      </c>
      <c r="W21" s="1" t="s">
        <v>98</v>
      </c>
      <c r="X21" s="1" t="s">
        <v>184</v>
      </c>
      <c r="Y21" s="1"/>
      <c r="Z21" s="1" t="s">
        <v>260</v>
      </c>
      <c r="AA21" s="1" t="s">
        <v>66</v>
      </c>
      <c r="AB21" s="1" t="s">
        <v>443</v>
      </c>
      <c r="AC21" s="1" t="s">
        <v>119</v>
      </c>
      <c r="AD21" s="1" t="s">
        <v>215</v>
      </c>
      <c r="AE21" s="1" t="s">
        <v>444</v>
      </c>
      <c r="AF21" s="1" t="s">
        <v>184</v>
      </c>
      <c r="AG21" s="1" t="s">
        <v>195</v>
      </c>
      <c r="AH21" s="1" t="s">
        <v>445</v>
      </c>
      <c r="AI21" s="1" t="s">
        <v>112</v>
      </c>
      <c r="AJ21" s="1" t="s">
        <v>235</v>
      </c>
      <c r="AK21" s="1" t="s">
        <v>200</v>
      </c>
      <c r="AL21" s="1" t="s">
        <v>49</v>
      </c>
      <c r="AM21" s="1" t="s">
        <v>92</v>
      </c>
      <c r="AN21" s="1" t="s">
        <v>98</v>
      </c>
      <c r="AO21" s="1" t="s">
        <v>150</v>
      </c>
    </row>
    <row r="22" spans="1:41" x14ac:dyDescent="0.25">
      <c r="A22" s="1"/>
      <c r="B22" s="1"/>
      <c r="C22" s="1"/>
      <c r="D22" s="1"/>
      <c r="E22" s="1"/>
      <c r="F22" s="1"/>
      <c r="G22" s="5"/>
      <c r="H22" s="1"/>
      <c r="I22" s="1" t="s">
        <v>1</v>
      </c>
      <c r="J22" s="1" t="s">
        <v>1</v>
      </c>
      <c r="K22" s="1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 t="s">
        <v>1</v>
      </c>
      <c r="Q22" s="1" t="s">
        <v>1</v>
      </c>
      <c r="R22" s="1" t="s">
        <v>1</v>
      </c>
      <c r="S22" s="1" t="s">
        <v>1</v>
      </c>
      <c r="T22" s="1" t="s">
        <v>1</v>
      </c>
      <c r="U22" s="1" t="s">
        <v>1</v>
      </c>
      <c r="V22" s="1" t="s">
        <v>1</v>
      </c>
      <c r="W22" s="1" t="s">
        <v>1</v>
      </c>
      <c r="X22" s="1" t="s">
        <v>1</v>
      </c>
      <c r="Y22" s="1"/>
      <c r="Z22" s="1" t="s">
        <v>701</v>
      </c>
      <c r="AA22" s="1" t="s">
        <v>701</v>
      </c>
      <c r="AB22" s="1" t="s">
        <v>701</v>
      </c>
      <c r="AC22" s="1" t="s">
        <v>701</v>
      </c>
      <c r="AD22" s="1" t="s">
        <v>701</v>
      </c>
      <c r="AE22" s="1" t="s">
        <v>701</v>
      </c>
      <c r="AF22" s="1" t="s">
        <v>701</v>
      </c>
      <c r="AG22" s="1" t="s">
        <v>701</v>
      </c>
      <c r="AH22" s="1" t="s">
        <v>701</v>
      </c>
      <c r="AI22" s="1" t="s">
        <v>701</v>
      </c>
      <c r="AJ22" s="1" t="s">
        <v>701</v>
      </c>
      <c r="AK22" s="1" t="s">
        <v>701</v>
      </c>
      <c r="AL22" s="1" t="s">
        <v>701</v>
      </c>
      <c r="AM22" s="1" t="s">
        <v>701</v>
      </c>
      <c r="AN22" s="1" t="s">
        <v>701</v>
      </c>
      <c r="AO22" s="1" t="s">
        <v>701</v>
      </c>
    </row>
    <row r="23" spans="1:41" x14ac:dyDescent="0.25">
      <c r="A23" s="1" t="s">
        <v>40</v>
      </c>
      <c r="B23" s="1" t="s">
        <v>41</v>
      </c>
      <c r="C23" s="1" t="s">
        <v>42</v>
      </c>
      <c r="D23" s="1" t="s">
        <v>702</v>
      </c>
      <c r="E23" s="1" t="s">
        <v>44</v>
      </c>
      <c r="F23" s="1" t="s">
        <v>45</v>
      </c>
      <c r="G23" s="5" t="s">
        <v>46</v>
      </c>
      <c r="H23" s="1" t="s">
        <v>44</v>
      </c>
      <c r="I23" s="1" t="s">
        <v>703</v>
      </c>
      <c r="J23" s="1" t="s">
        <v>704</v>
      </c>
      <c r="K23" s="1" t="s">
        <v>705</v>
      </c>
      <c r="L23" s="1" t="s">
        <v>706</v>
      </c>
      <c r="M23" s="1" t="s">
        <v>707</v>
      </c>
      <c r="N23" s="1" t="s">
        <v>708</v>
      </c>
      <c r="O23" s="1" t="s">
        <v>709</v>
      </c>
      <c r="P23" s="1" t="s">
        <v>710</v>
      </c>
      <c r="Q23" s="1" t="s">
        <v>711</v>
      </c>
      <c r="R23" s="1" t="s">
        <v>712</v>
      </c>
      <c r="S23" s="1" t="s">
        <v>713</v>
      </c>
      <c r="T23" s="1" t="s">
        <v>714</v>
      </c>
      <c r="U23" s="1" t="s">
        <v>715</v>
      </c>
      <c r="V23" s="1" t="s">
        <v>716</v>
      </c>
      <c r="W23" s="1" t="s">
        <v>717</v>
      </c>
      <c r="X23" s="1" t="s">
        <v>718</v>
      </c>
      <c r="Y23" s="1" t="s">
        <v>702</v>
      </c>
      <c r="Z23" s="1" t="s">
        <v>703</v>
      </c>
      <c r="AA23" s="1" t="s">
        <v>704</v>
      </c>
      <c r="AB23" s="1" t="s">
        <v>705</v>
      </c>
      <c r="AC23" s="1" t="s">
        <v>706</v>
      </c>
      <c r="AD23" s="1" t="s">
        <v>707</v>
      </c>
      <c r="AE23" s="1" t="s">
        <v>708</v>
      </c>
      <c r="AF23" s="1" t="s">
        <v>709</v>
      </c>
      <c r="AG23" s="1" t="s">
        <v>710</v>
      </c>
      <c r="AH23" s="1" t="s">
        <v>711</v>
      </c>
      <c r="AI23" s="1" t="s">
        <v>712</v>
      </c>
      <c r="AJ23" s="1" t="s">
        <v>713</v>
      </c>
      <c r="AK23" s="1" t="s">
        <v>714</v>
      </c>
      <c r="AL23" s="1" t="s">
        <v>715</v>
      </c>
      <c r="AM23" s="1" t="s">
        <v>716</v>
      </c>
      <c r="AN23" s="1" t="s">
        <v>717</v>
      </c>
      <c r="AO23" s="1" t="s">
        <v>718</v>
      </c>
    </row>
    <row r="24" spans="1:41" x14ac:dyDescent="0.25">
      <c r="A24" s="1" t="s">
        <v>165</v>
      </c>
      <c r="B24" s="1" t="s">
        <v>165</v>
      </c>
      <c r="C24" s="1" t="s">
        <v>161</v>
      </c>
      <c r="D24" s="1" t="s">
        <v>57</v>
      </c>
      <c r="E24" s="1" t="s">
        <v>277</v>
      </c>
      <c r="F24" s="1" t="s">
        <v>52</v>
      </c>
      <c r="G24" s="5" t="s">
        <v>432</v>
      </c>
      <c r="H24" s="1" t="s">
        <v>120</v>
      </c>
      <c r="I24" s="1" t="s">
        <v>290</v>
      </c>
      <c r="J24" s="1" t="s">
        <v>72</v>
      </c>
      <c r="K24" s="1" t="s">
        <v>446</v>
      </c>
      <c r="L24" s="1" t="s">
        <v>156</v>
      </c>
      <c r="M24" s="1" t="s">
        <v>260</v>
      </c>
      <c r="N24" s="1" t="s">
        <v>222</v>
      </c>
      <c r="O24" s="1" t="s">
        <v>124</v>
      </c>
      <c r="P24" s="1" t="s">
        <v>138</v>
      </c>
      <c r="Q24" s="1" t="s">
        <v>447</v>
      </c>
      <c r="R24" s="1" t="s">
        <v>103</v>
      </c>
      <c r="S24" s="1" t="s">
        <v>270</v>
      </c>
      <c r="T24" s="1" t="s">
        <v>215</v>
      </c>
      <c r="U24" s="1" t="s">
        <v>92</v>
      </c>
      <c r="V24" s="1" t="s">
        <v>70</v>
      </c>
      <c r="W24" s="1" t="s">
        <v>108</v>
      </c>
      <c r="X24" s="1" t="s">
        <v>184</v>
      </c>
      <c r="Y24" s="1"/>
      <c r="Z24" s="1" t="s">
        <v>244</v>
      </c>
      <c r="AA24" s="1" t="s">
        <v>387</v>
      </c>
      <c r="AB24" s="1" t="s">
        <v>448</v>
      </c>
      <c r="AC24" s="1" t="s">
        <v>138</v>
      </c>
      <c r="AD24" s="1" t="s">
        <v>239</v>
      </c>
      <c r="AE24" s="1" t="s">
        <v>299</v>
      </c>
      <c r="AF24" s="1" t="s">
        <v>200</v>
      </c>
      <c r="AG24" s="1" t="s">
        <v>220</v>
      </c>
      <c r="AH24" s="1" t="s">
        <v>449</v>
      </c>
      <c r="AI24" s="1" t="s">
        <v>85</v>
      </c>
      <c r="AJ24" s="1" t="s">
        <v>230</v>
      </c>
      <c r="AK24" s="1" t="s">
        <v>175</v>
      </c>
      <c r="AL24" s="1" t="s">
        <v>70</v>
      </c>
      <c r="AM24" s="1" t="s">
        <v>70</v>
      </c>
      <c r="AN24" s="1" t="s">
        <v>112</v>
      </c>
      <c r="AO24" s="1" t="s">
        <v>112</v>
      </c>
    </row>
    <row r="25" spans="1:41" x14ac:dyDescent="0.25">
      <c r="A25" s="1" t="s">
        <v>171</v>
      </c>
      <c r="B25" s="1" t="s">
        <v>171</v>
      </c>
      <c r="C25" s="1" t="s">
        <v>166</v>
      </c>
      <c r="D25" s="1" t="s">
        <v>57</v>
      </c>
      <c r="E25" s="1" t="s">
        <v>51</v>
      </c>
      <c r="F25" s="1" t="s">
        <v>65</v>
      </c>
      <c r="G25" s="5" t="s">
        <v>450</v>
      </c>
      <c r="H25" s="1" t="s">
        <v>451</v>
      </c>
      <c r="I25" s="1" t="s">
        <v>270</v>
      </c>
      <c r="J25" s="1" t="s">
        <v>419</v>
      </c>
      <c r="K25" s="1" t="s">
        <v>123</v>
      </c>
      <c r="L25" s="1" t="s">
        <v>156</v>
      </c>
      <c r="M25" s="1" t="s">
        <v>230</v>
      </c>
      <c r="N25" s="1" t="s">
        <v>62</v>
      </c>
      <c r="O25" s="1" t="s">
        <v>190</v>
      </c>
      <c r="P25" s="1" t="s">
        <v>215</v>
      </c>
      <c r="Q25" s="1" t="s">
        <v>452</v>
      </c>
      <c r="R25" s="1" t="s">
        <v>92</v>
      </c>
      <c r="S25" s="1" t="s">
        <v>260</v>
      </c>
      <c r="T25" s="1" t="s">
        <v>215</v>
      </c>
      <c r="U25" s="1" t="s">
        <v>85</v>
      </c>
      <c r="V25" s="1" t="s">
        <v>78</v>
      </c>
      <c r="W25" s="1" t="s">
        <v>142</v>
      </c>
      <c r="X25" s="1" t="s">
        <v>181</v>
      </c>
      <c r="Y25" s="1"/>
      <c r="Z25" s="1" t="s">
        <v>286</v>
      </c>
      <c r="AA25" s="1" t="s">
        <v>121</v>
      </c>
      <c r="AB25" s="1" t="s">
        <v>136</v>
      </c>
      <c r="AC25" s="1" t="s">
        <v>112</v>
      </c>
      <c r="AD25" s="1" t="s">
        <v>240</v>
      </c>
      <c r="AE25" s="1" t="s">
        <v>261</v>
      </c>
      <c r="AF25" s="1" t="s">
        <v>184</v>
      </c>
      <c r="AG25" s="1" t="s">
        <v>211</v>
      </c>
      <c r="AH25" s="1" t="s">
        <v>453</v>
      </c>
      <c r="AI25" s="1" t="s">
        <v>108</v>
      </c>
      <c r="AJ25" s="1" t="s">
        <v>240</v>
      </c>
      <c r="AK25" s="1" t="s">
        <v>181</v>
      </c>
      <c r="AL25" s="1" t="s">
        <v>103</v>
      </c>
      <c r="AM25" s="1" t="s">
        <v>48</v>
      </c>
      <c r="AN25" s="1" t="s">
        <v>92</v>
      </c>
      <c r="AO25" s="1" t="s">
        <v>171</v>
      </c>
    </row>
    <row r="26" spans="1:41" x14ac:dyDescent="0.25">
      <c r="A26" s="1" t="s">
        <v>175</v>
      </c>
      <c r="B26" s="1" t="s">
        <v>175</v>
      </c>
      <c r="C26" s="1" t="s">
        <v>454</v>
      </c>
      <c r="D26" s="1"/>
      <c r="E26" s="1" t="s">
        <v>263</v>
      </c>
      <c r="F26" s="1" t="s">
        <v>52</v>
      </c>
      <c r="G26" s="5" t="s">
        <v>183</v>
      </c>
      <c r="H26" s="1" t="s">
        <v>193</v>
      </c>
      <c r="I26" s="1" t="s">
        <v>260</v>
      </c>
      <c r="J26" s="1" t="s">
        <v>416</v>
      </c>
      <c r="K26" s="1" t="s">
        <v>446</v>
      </c>
      <c r="L26" s="1" t="s">
        <v>119</v>
      </c>
      <c r="M26" s="1" t="s">
        <v>208</v>
      </c>
      <c r="N26" s="1" t="s">
        <v>455</v>
      </c>
      <c r="O26" s="1" t="s">
        <v>165</v>
      </c>
      <c r="P26" s="1" t="s">
        <v>189</v>
      </c>
      <c r="Q26" s="1" t="s">
        <v>438</v>
      </c>
      <c r="R26" s="1" t="s">
        <v>85</v>
      </c>
      <c r="S26" s="1" t="s">
        <v>256</v>
      </c>
      <c r="T26" s="1" t="s">
        <v>184</v>
      </c>
      <c r="U26" s="1" t="s">
        <v>85</v>
      </c>
      <c r="V26" s="1" t="s">
        <v>70</v>
      </c>
      <c r="W26" s="1" t="s">
        <v>138</v>
      </c>
      <c r="X26" s="1" t="s">
        <v>142</v>
      </c>
      <c r="Y26" s="1"/>
      <c r="Z26" s="1" t="s">
        <v>260</v>
      </c>
      <c r="AA26" s="1" t="s">
        <v>242</v>
      </c>
      <c r="AB26" s="1" t="s">
        <v>456</v>
      </c>
      <c r="AC26" s="1" t="s">
        <v>131</v>
      </c>
      <c r="AD26" s="1" t="s">
        <v>230</v>
      </c>
      <c r="AE26" s="1" t="s">
        <v>457</v>
      </c>
      <c r="AF26" s="1" t="s">
        <v>131</v>
      </c>
      <c r="AG26" s="1" t="s">
        <v>142</v>
      </c>
      <c r="AH26" s="1" t="s">
        <v>378</v>
      </c>
      <c r="AI26" s="1" t="s">
        <v>108</v>
      </c>
      <c r="AJ26" s="1" t="s">
        <v>240</v>
      </c>
      <c r="AK26" s="1" t="s">
        <v>165</v>
      </c>
      <c r="AL26" s="1" t="s">
        <v>112</v>
      </c>
      <c r="AM26" s="1" t="s">
        <v>78</v>
      </c>
      <c r="AN26" s="1" t="s">
        <v>94</v>
      </c>
      <c r="AO26" s="1" t="s">
        <v>150</v>
      </c>
    </row>
    <row r="27" spans="1:41" x14ac:dyDescent="0.25">
      <c r="A27" s="1" t="s">
        <v>181</v>
      </c>
      <c r="B27" s="1" t="s">
        <v>181</v>
      </c>
      <c r="C27" s="1" t="s">
        <v>458</v>
      </c>
      <c r="D27" s="1"/>
      <c r="E27" s="1" t="s">
        <v>71</v>
      </c>
      <c r="F27" s="1" t="s">
        <v>65</v>
      </c>
      <c r="G27" s="5" t="s">
        <v>134</v>
      </c>
      <c r="H27" s="1" t="s">
        <v>198</v>
      </c>
      <c r="I27" s="1" t="s">
        <v>240</v>
      </c>
      <c r="J27" s="1" t="s">
        <v>459</v>
      </c>
      <c r="K27" s="1" t="s">
        <v>164</v>
      </c>
      <c r="L27" s="1" t="s">
        <v>142</v>
      </c>
      <c r="M27" s="1" t="s">
        <v>251</v>
      </c>
      <c r="N27" s="1" t="s">
        <v>173</v>
      </c>
      <c r="O27" s="1" t="s">
        <v>171</v>
      </c>
      <c r="P27" s="1" t="s">
        <v>200</v>
      </c>
      <c r="Q27" s="1" t="s">
        <v>379</v>
      </c>
      <c r="R27" s="1" t="s">
        <v>94</v>
      </c>
      <c r="S27" s="1" t="s">
        <v>244</v>
      </c>
      <c r="T27" s="1" t="s">
        <v>200</v>
      </c>
      <c r="U27" s="1" t="s">
        <v>78</v>
      </c>
      <c r="V27" s="1" t="s">
        <v>85</v>
      </c>
      <c r="W27" s="1" t="s">
        <v>150</v>
      </c>
      <c r="X27" s="1" t="s">
        <v>156</v>
      </c>
      <c r="Y27" s="1"/>
      <c r="Z27" s="1" t="s">
        <v>269</v>
      </c>
      <c r="AA27" s="1" t="s">
        <v>218</v>
      </c>
      <c r="AB27" s="1" t="s">
        <v>188</v>
      </c>
      <c r="AC27" s="1" t="s">
        <v>119</v>
      </c>
      <c r="AD27" s="1" t="s">
        <v>211</v>
      </c>
      <c r="AE27" s="1" t="s">
        <v>409</v>
      </c>
      <c r="AF27" s="1" t="s">
        <v>112</v>
      </c>
      <c r="AG27" s="1" t="s">
        <v>124</v>
      </c>
      <c r="AH27" s="1" t="s">
        <v>389</v>
      </c>
      <c r="AI27" s="1" t="s">
        <v>112</v>
      </c>
      <c r="AJ27" s="1" t="s">
        <v>247</v>
      </c>
      <c r="AK27" s="1" t="s">
        <v>171</v>
      </c>
      <c r="AL27" s="1" t="s">
        <v>103</v>
      </c>
      <c r="AM27" s="1" t="s">
        <v>85</v>
      </c>
      <c r="AN27" s="1" t="s">
        <v>103</v>
      </c>
      <c r="AO27" s="1" t="s">
        <v>184</v>
      </c>
    </row>
    <row r="28" spans="1:41" x14ac:dyDescent="0.25">
      <c r="A28" s="1" t="s">
        <v>184</v>
      </c>
      <c r="B28" s="1" t="s">
        <v>184</v>
      </c>
      <c r="C28" s="1" t="s">
        <v>182</v>
      </c>
      <c r="D28" s="1" t="s">
        <v>57</v>
      </c>
      <c r="E28" s="1" t="s">
        <v>401</v>
      </c>
      <c r="F28" s="1" t="s">
        <v>65</v>
      </c>
      <c r="G28" s="5" t="s">
        <v>121</v>
      </c>
      <c r="H28" s="1" t="s">
        <v>183</v>
      </c>
      <c r="I28" s="1" t="s">
        <v>240</v>
      </c>
      <c r="J28" s="1" t="s">
        <v>419</v>
      </c>
      <c r="K28" s="1" t="s">
        <v>90</v>
      </c>
      <c r="L28" s="1" t="s">
        <v>131</v>
      </c>
      <c r="M28" s="1" t="s">
        <v>247</v>
      </c>
      <c r="N28" s="1" t="s">
        <v>326</v>
      </c>
      <c r="O28" s="1" t="s">
        <v>131</v>
      </c>
      <c r="P28" s="1" t="s">
        <v>142</v>
      </c>
      <c r="Q28" s="1" t="s">
        <v>378</v>
      </c>
      <c r="R28" s="1" t="s">
        <v>94</v>
      </c>
      <c r="S28" s="1" t="s">
        <v>220</v>
      </c>
      <c r="T28" s="1" t="s">
        <v>165</v>
      </c>
      <c r="U28" s="1" t="s">
        <v>85</v>
      </c>
      <c r="V28" s="1" t="s">
        <v>49</v>
      </c>
      <c r="W28" s="1" t="s">
        <v>142</v>
      </c>
      <c r="X28" s="1" t="s">
        <v>150</v>
      </c>
      <c r="Y28" s="1"/>
      <c r="Z28" s="1" t="s">
        <v>267</v>
      </c>
      <c r="AA28" s="1" t="s">
        <v>66</v>
      </c>
      <c r="AB28" s="1" t="s">
        <v>206</v>
      </c>
      <c r="AC28" s="1" t="s">
        <v>103</v>
      </c>
      <c r="AD28" s="1" t="s">
        <v>190</v>
      </c>
      <c r="AE28" s="1" t="s">
        <v>304</v>
      </c>
      <c r="AF28" s="1" t="s">
        <v>150</v>
      </c>
      <c r="AG28" s="1" t="s">
        <v>171</v>
      </c>
      <c r="AH28" s="1" t="s">
        <v>452</v>
      </c>
      <c r="AI28" s="1" t="s">
        <v>119</v>
      </c>
      <c r="AJ28" s="1" t="s">
        <v>272</v>
      </c>
      <c r="AK28" s="1" t="s">
        <v>190</v>
      </c>
      <c r="AL28" s="1" t="s">
        <v>112</v>
      </c>
      <c r="AM28" s="1" t="s">
        <v>70</v>
      </c>
      <c r="AN28" s="1" t="s">
        <v>131</v>
      </c>
      <c r="AO28" s="1" t="s">
        <v>131</v>
      </c>
    </row>
    <row r="29" spans="1:41" x14ac:dyDescent="0.25">
      <c r="A29" s="1" t="s">
        <v>189</v>
      </c>
      <c r="B29" s="1" t="s">
        <v>189</v>
      </c>
      <c r="C29" s="1" t="s">
        <v>185</v>
      </c>
      <c r="D29" s="1" t="s">
        <v>57</v>
      </c>
      <c r="E29" s="1" t="s">
        <v>144</v>
      </c>
      <c r="F29" s="1" t="s">
        <v>65</v>
      </c>
      <c r="G29" s="5" t="s">
        <v>172</v>
      </c>
      <c r="H29" s="1" t="s">
        <v>100</v>
      </c>
      <c r="I29" s="1" t="s">
        <v>254</v>
      </c>
      <c r="J29" s="1" t="s">
        <v>387</v>
      </c>
      <c r="K29" s="1" t="s">
        <v>219</v>
      </c>
      <c r="L29" s="1" t="s">
        <v>108</v>
      </c>
      <c r="M29" s="1" t="s">
        <v>204</v>
      </c>
      <c r="N29" s="1" t="s">
        <v>460</v>
      </c>
      <c r="O29" s="1" t="s">
        <v>124</v>
      </c>
      <c r="P29" s="1" t="s">
        <v>138</v>
      </c>
      <c r="Q29" s="1" t="s">
        <v>447</v>
      </c>
      <c r="R29" s="1" t="s">
        <v>94</v>
      </c>
      <c r="S29" s="1" t="s">
        <v>220</v>
      </c>
      <c r="T29" s="1" t="s">
        <v>204</v>
      </c>
      <c r="U29" s="1" t="s">
        <v>94</v>
      </c>
      <c r="V29" s="1" t="s">
        <v>85</v>
      </c>
      <c r="W29" s="1" t="s">
        <v>131</v>
      </c>
      <c r="X29" s="1" t="s">
        <v>171</v>
      </c>
      <c r="Y29" s="1"/>
      <c r="Z29" s="1" t="s">
        <v>264</v>
      </c>
      <c r="AA29" s="1" t="s">
        <v>430</v>
      </c>
      <c r="AB29" s="1" t="s">
        <v>308</v>
      </c>
      <c r="AC29" s="1" t="s">
        <v>119</v>
      </c>
      <c r="AD29" s="1" t="s">
        <v>200</v>
      </c>
      <c r="AE29" s="1" t="s">
        <v>375</v>
      </c>
      <c r="AF29" s="1" t="s">
        <v>131</v>
      </c>
      <c r="AG29" s="1" t="s">
        <v>165</v>
      </c>
      <c r="AH29" s="1" t="s">
        <v>435</v>
      </c>
      <c r="AI29" s="1" t="s">
        <v>92</v>
      </c>
      <c r="AJ29" s="1" t="s">
        <v>235</v>
      </c>
      <c r="AK29" s="1" t="s">
        <v>195</v>
      </c>
      <c r="AL29" s="1" t="s">
        <v>103</v>
      </c>
      <c r="AM29" s="1" t="s">
        <v>85</v>
      </c>
      <c r="AN29" s="1" t="s">
        <v>119</v>
      </c>
      <c r="AO29" s="1" t="s">
        <v>138</v>
      </c>
    </row>
    <row r="30" spans="1:41" x14ac:dyDescent="0.25">
      <c r="A30" s="1" t="s">
        <v>190</v>
      </c>
      <c r="B30" s="1" t="s">
        <v>190</v>
      </c>
      <c r="C30" s="1" t="s">
        <v>461</v>
      </c>
      <c r="D30" s="1"/>
      <c r="E30" s="1" t="s">
        <v>167</v>
      </c>
      <c r="F30" s="1" t="s">
        <v>52</v>
      </c>
      <c r="G30" s="5" t="s">
        <v>127</v>
      </c>
      <c r="H30" s="1" t="s">
        <v>66</v>
      </c>
      <c r="I30" s="1" t="s">
        <v>211</v>
      </c>
      <c r="J30" s="1" t="s">
        <v>370</v>
      </c>
      <c r="K30" s="1" t="s">
        <v>299</v>
      </c>
      <c r="L30" s="1" t="s">
        <v>98</v>
      </c>
      <c r="M30" s="1" t="s">
        <v>208</v>
      </c>
      <c r="N30" s="1" t="s">
        <v>233</v>
      </c>
      <c r="O30" s="1" t="s">
        <v>208</v>
      </c>
      <c r="P30" s="1" t="s">
        <v>226</v>
      </c>
      <c r="Q30" s="1" t="s">
        <v>462</v>
      </c>
      <c r="R30" s="1" t="s">
        <v>98</v>
      </c>
      <c r="S30" s="1" t="s">
        <v>262</v>
      </c>
      <c r="T30" s="1" t="s">
        <v>160</v>
      </c>
      <c r="U30" s="1" t="s">
        <v>48</v>
      </c>
      <c r="V30" s="1" t="s">
        <v>78</v>
      </c>
      <c r="W30" s="1" t="s">
        <v>112</v>
      </c>
      <c r="X30" s="1" t="s">
        <v>160</v>
      </c>
      <c r="Y30" s="1"/>
      <c r="Z30" s="1" t="s">
        <v>230</v>
      </c>
      <c r="AA30" s="1" t="s">
        <v>81</v>
      </c>
      <c r="AB30" s="1" t="s">
        <v>110</v>
      </c>
      <c r="AC30" s="1" t="s">
        <v>131</v>
      </c>
      <c r="AD30" s="1" t="s">
        <v>239</v>
      </c>
      <c r="AE30" s="1" t="s">
        <v>202</v>
      </c>
      <c r="AF30" s="1" t="s">
        <v>92</v>
      </c>
      <c r="AG30" s="1" t="s">
        <v>108</v>
      </c>
      <c r="AH30" s="1" t="s">
        <v>463</v>
      </c>
      <c r="AI30" s="1" t="s">
        <v>103</v>
      </c>
      <c r="AJ30" s="1" t="s">
        <v>254</v>
      </c>
      <c r="AK30" s="1" t="s">
        <v>189</v>
      </c>
      <c r="AL30" s="1" t="s">
        <v>70</v>
      </c>
      <c r="AM30" s="1" t="s">
        <v>78</v>
      </c>
      <c r="AN30" s="1" t="s">
        <v>94</v>
      </c>
      <c r="AO30" s="1" t="s">
        <v>165</v>
      </c>
    </row>
    <row r="31" spans="1:41" x14ac:dyDescent="0.25">
      <c r="A31" s="1" t="s">
        <v>195</v>
      </c>
      <c r="B31" s="1" t="s">
        <v>195</v>
      </c>
      <c r="C31" s="1" t="s">
        <v>191</v>
      </c>
      <c r="D31" s="1" t="s">
        <v>57</v>
      </c>
      <c r="E31" s="1" t="s">
        <v>258</v>
      </c>
      <c r="F31" s="1" t="s">
        <v>52</v>
      </c>
      <c r="G31" s="5" t="s">
        <v>115</v>
      </c>
      <c r="H31" s="1" t="s">
        <v>134</v>
      </c>
      <c r="I31" s="1" t="s">
        <v>270</v>
      </c>
      <c r="J31" s="1" t="s">
        <v>73</v>
      </c>
      <c r="K31" s="1" t="s">
        <v>203</v>
      </c>
      <c r="L31" s="1" t="s">
        <v>138</v>
      </c>
      <c r="M31" s="1" t="s">
        <v>240</v>
      </c>
      <c r="N31" s="1" t="s">
        <v>377</v>
      </c>
      <c r="O31" s="1" t="s">
        <v>150</v>
      </c>
      <c r="P31" s="1" t="s">
        <v>160</v>
      </c>
      <c r="Q31" s="1" t="s">
        <v>405</v>
      </c>
      <c r="R31" s="1" t="s">
        <v>94</v>
      </c>
      <c r="S31" s="1" t="s">
        <v>260</v>
      </c>
      <c r="T31" s="1" t="s">
        <v>226</v>
      </c>
      <c r="U31" s="1" t="s">
        <v>98</v>
      </c>
      <c r="V31" s="1" t="s">
        <v>78</v>
      </c>
      <c r="W31" s="1" t="s">
        <v>119</v>
      </c>
      <c r="X31" s="1" t="s">
        <v>131</v>
      </c>
      <c r="Y31" s="1"/>
      <c r="Z31" s="1" t="s">
        <v>256</v>
      </c>
      <c r="AA31" s="1" t="s">
        <v>301</v>
      </c>
      <c r="AB31" s="1" t="s">
        <v>214</v>
      </c>
      <c r="AC31" s="1" t="s">
        <v>98</v>
      </c>
      <c r="AD31" s="1" t="s">
        <v>220</v>
      </c>
      <c r="AE31" s="1" t="s">
        <v>289</v>
      </c>
      <c r="AF31" s="1" t="s">
        <v>160</v>
      </c>
      <c r="AG31" s="1" t="s">
        <v>184</v>
      </c>
      <c r="AH31" s="1" t="s">
        <v>464</v>
      </c>
      <c r="AI31" s="1" t="s">
        <v>78</v>
      </c>
      <c r="AJ31" s="1" t="s">
        <v>235</v>
      </c>
      <c r="AK31" s="1" t="s">
        <v>184</v>
      </c>
      <c r="AL31" s="1" t="s">
        <v>85</v>
      </c>
      <c r="AM31" s="1" t="s">
        <v>85</v>
      </c>
      <c r="AN31" s="1" t="s">
        <v>119</v>
      </c>
      <c r="AO31" s="1" t="s">
        <v>131</v>
      </c>
    </row>
    <row r="32" spans="1:41" x14ac:dyDescent="0.25">
      <c r="A32" s="1" t="s">
        <v>200</v>
      </c>
      <c r="B32" s="1" t="s">
        <v>200</v>
      </c>
      <c r="C32" s="1" t="s">
        <v>196</v>
      </c>
      <c r="D32" s="1" t="s">
        <v>57</v>
      </c>
      <c r="E32" s="1" t="s">
        <v>186</v>
      </c>
      <c r="F32" s="1" t="s">
        <v>52</v>
      </c>
      <c r="G32" s="5" t="s">
        <v>96</v>
      </c>
      <c r="H32" s="1" t="s">
        <v>120</v>
      </c>
      <c r="I32" s="1" t="s">
        <v>272</v>
      </c>
      <c r="J32" s="1" t="s">
        <v>60</v>
      </c>
      <c r="K32" s="1" t="s">
        <v>179</v>
      </c>
      <c r="L32" s="1" t="s">
        <v>190</v>
      </c>
      <c r="M32" s="1" t="s">
        <v>264</v>
      </c>
      <c r="N32" s="1" t="s">
        <v>465</v>
      </c>
      <c r="O32" s="1" t="s">
        <v>92</v>
      </c>
      <c r="P32" s="1" t="s">
        <v>112</v>
      </c>
      <c r="Q32" s="1" t="s">
        <v>117</v>
      </c>
      <c r="R32" s="1" t="s">
        <v>98</v>
      </c>
      <c r="S32" s="1" t="s">
        <v>226</v>
      </c>
      <c r="T32" s="1" t="s">
        <v>208</v>
      </c>
      <c r="U32" s="1" t="s">
        <v>92</v>
      </c>
      <c r="V32" s="1" t="s">
        <v>70</v>
      </c>
      <c r="W32" s="1" t="s">
        <v>131</v>
      </c>
      <c r="X32" s="1" t="s">
        <v>138</v>
      </c>
      <c r="Y32" s="1"/>
      <c r="Z32" s="1" t="s">
        <v>272</v>
      </c>
      <c r="AA32" s="1" t="s">
        <v>245</v>
      </c>
      <c r="AB32" s="1" t="s">
        <v>102</v>
      </c>
      <c r="AC32" s="1" t="s">
        <v>112</v>
      </c>
      <c r="AD32" s="1" t="s">
        <v>215</v>
      </c>
      <c r="AE32" s="1" t="s">
        <v>394</v>
      </c>
      <c r="AF32" s="1" t="s">
        <v>108</v>
      </c>
      <c r="AG32" s="1" t="s">
        <v>119</v>
      </c>
      <c r="AH32" s="1" t="s">
        <v>466</v>
      </c>
      <c r="AI32" s="1" t="s">
        <v>131</v>
      </c>
      <c r="AJ32" s="1" t="s">
        <v>247</v>
      </c>
      <c r="AK32" s="1" t="s">
        <v>181</v>
      </c>
      <c r="AL32" s="1" t="s">
        <v>85</v>
      </c>
      <c r="AM32" s="1" t="s">
        <v>85</v>
      </c>
      <c r="AN32" s="1" t="s">
        <v>119</v>
      </c>
      <c r="AO32" s="1" t="s">
        <v>119</v>
      </c>
    </row>
    <row r="33" spans="1:41" x14ac:dyDescent="0.25">
      <c r="A33" s="1" t="s">
        <v>204</v>
      </c>
      <c r="B33" s="1" t="s">
        <v>204</v>
      </c>
      <c r="C33" s="1" t="s">
        <v>467</v>
      </c>
      <c r="D33" s="1" t="s">
        <v>57</v>
      </c>
      <c r="E33" s="1" t="s">
        <v>192</v>
      </c>
      <c r="F33" s="1" t="s">
        <v>52</v>
      </c>
      <c r="G33" s="5" t="s">
        <v>329</v>
      </c>
      <c r="H33" s="1" t="s">
        <v>183</v>
      </c>
      <c r="I33" s="1" t="s">
        <v>264</v>
      </c>
      <c r="J33" s="1" t="s">
        <v>372</v>
      </c>
      <c r="K33" s="1" t="s">
        <v>179</v>
      </c>
      <c r="L33" s="1" t="s">
        <v>160</v>
      </c>
      <c r="M33" s="1" t="s">
        <v>244</v>
      </c>
      <c r="N33" s="1" t="s">
        <v>219</v>
      </c>
      <c r="O33" s="1" t="s">
        <v>124</v>
      </c>
      <c r="P33" s="1" t="s">
        <v>131</v>
      </c>
      <c r="Q33" s="1" t="s">
        <v>468</v>
      </c>
      <c r="R33" s="1" t="s">
        <v>70</v>
      </c>
      <c r="S33" s="1" t="s">
        <v>235</v>
      </c>
      <c r="T33" s="1" t="s">
        <v>195</v>
      </c>
      <c r="U33" s="1" t="s">
        <v>70</v>
      </c>
      <c r="V33" s="1" t="s">
        <v>70</v>
      </c>
      <c r="W33" s="1" t="s">
        <v>103</v>
      </c>
      <c r="X33" s="1" t="s">
        <v>108</v>
      </c>
      <c r="Y33" s="1"/>
      <c r="Z33" s="1" t="s">
        <v>267</v>
      </c>
      <c r="AA33" s="1" t="s">
        <v>419</v>
      </c>
      <c r="AB33" s="1" t="s">
        <v>234</v>
      </c>
      <c r="AC33" s="1" t="s">
        <v>138</v>
      </c>
      <c r="AD33" s="1" t="s">
        <v>235</v>
      </c>
      <c r="AE33" s="1" t="s">
        <v>469</v>
      </c>
      <c r="AF33" s="1" t="s">
        <v>112</v>
      </c>
      <c r="AG33" s="1" t="s">
        <v>112</v>
      </c>
      <c r="AH33" s="1" t="s">
        <v>470</v>
      </c>
      <c r="AI33" s="1" t="s">
        <v>70</v>
      </c>
      <c r="AJ33" s="1" t="s">
        <v>220</v>
      </c>
      <c r="AK33" s="1" t="s">
        <v>195</v>
      </c>
      <c r="AL33" s="1" t="s">
        <v>92</v>
      </c>
      <c r="AM33" s="1" t="s">
        <v>49</v>
      </c>
      <c r="AN33" s="1" t="s">
        <v>85</v>
      </c>
      <c r="AO33" s="1" t="s">
        <v>131</v>
      </c>
    </row>
    <row r="34" spans="1:41" x14ac:dyDescent="0.25">
      <c r="A34" s="1" t="s">
        <v>208</v>
      </c>
      <c r="B34" s="1" t="s">
        <v>208</v>
      </c>
      <c r="C34" s="1" t="s">
        <v>471</v>
      </c>
      <c r="D34" s="1" t="s">
        <v>57</v>
      </c>
      <c r="E34" s="1" t="s">
        <v>158</v>
      </c>
      <c r="F34" s="1" t="s">
        <v>52</v>
      </c>
      <c r="G34" s="5" t="s">
        <v>59</v>
      </c>
      <c r="H34" s="1" t="s">
        <v>259</v>
      </c>
      <c r="I34" s="1" t="s">
        <v>239</v>
      </c>
      <c r="J34" s="1" t="s">
        <v>472</v>
      </c>
      <c r="K34" s="1" t="s">
        <v>69</v>
      </c>
      <c r="L34" s="1" t="s">
        <v>150</v>
      </c>
      <c r="M34" s="1" t="s">
        <v>240</v>
      </c>
      <c r="N34" s="1" t="s">
        <v>137</v>
      </c>
      <c r="O34" s="1" t="s">
        <v>131</v>
      </c>
      <c r="P34" s="1" t="s">
        <v>181</v>
      </c>
      <c r="Q34" s="1" t="s">
        <v>421</v>
      </c>
      <c r="R34" s="1" t="s">
        <v>94</v>
      </c>
      <c r="S34" s="1" t="s">
        <v>240</v>
      </c>
      <c r="T34" s="1" t="s">
        <v>175</v>
      </c>
      <c r="U34" s="1" t="s">
        <v>98</v>
      </c>
      <c r="V34" s="1" t="s">
        <v>49</v>
      </c>
      <c r="W34" s="1" t="s">
        <v>119</v>
      </c>
      <c r="X34" s="1" t="s">
        <v>150</v>
      </c>
      <c r="Y34" s="1"/>
      <c r="Z34" s="1" t="s">
        <v>244</v>
      </c>
      <c r="AA34" s="1" t="s">
        <v>303</v>
      </c>
      <c r="AB34" s="1" t="s">
        <v>129</v>
      </c>
      <c r="AC34" s="1" t="s">
        <v>94</v>
      </c>
      <c r="AD34" s="1" t="s">
        <v>204</v>
      </c>
      <c r="AE34" s="1" t="s">
        <v>253</v>
      </c>
      <c r="AF34" s="1" t="s">
        <v>103</v>
      </c>
      <c r="AG34" s="1" t="s">
        <v>124</v>
      </c>
      <c r="AH34" s="1" t="s">
        <v>435</v>
      </c>
      <c r="AI34" s="1" t="s">
        <v>103</v>
      </c>
      <c r="AJ34" s="1" t="s">
        <v>240</v>
      </c>
      <c r="AK34" s="1" t="s">
        <v>165</v>
      </c>
      <c r="AL34" s="1" t="s">
        <v>92</v>
      </c>
      <c r="AM34" s="1" t="s">
        <v>70</v>
      </c>
      <c r="AN34" s="1" t="s">
        <v>138</v>
      </c>
      <c r="AO34" s="1" t="s">
        <v>138</v>
      </c>
    </row>
    <row r="35" spans="1:41" x14ac:dyDescent="0.25">
      <c r="A35" s="1" t="s">
        <v>211</v>
      </c>
      <c r="B35" s="1" t="s">
        <v>211</v>
      </c>
      <c r="C35" s="1" t="s">
        <v>209</v>
      </c>
      <c r="D35" s="1" t="s">
        <v>57</v>
      </c>
      <c r="E35" s="1" t="s">
        <v>263</v>
      </c>
      <c r="F35" s="1" t="s">
        <v>52</v>
      </c>
      <c r="G35" s="5" t="s">
        <v>88</v>
      </c>
      <c r="H35" s="1" t="s">
        <v>121</v>
      </c>
      <c r="I35" s="1" t="s">
        <v>256</v>
      </c>
      <c r="J35" s="1" t="s">
        <v>81</v>
      </c>
      <c r="K35" s="1" t="s">
        <v>426</v>
      </c>
      <c r="L35" s="1" t="s">
        <v>108</v>
      </c>
      <c r="M35" s="1" t="s">
        <v>239</v>
      </c>
      <c r="N35" s="1" t="s">
        <v>431</v>
      </c>
      <c r="O35" s="1" t="s">
        <v>119</v>
      </c>
      <c r="P35" s="1" t="s">
        <v>156</v>
      </c>
      <c r="Q35" s="1" t="s">
        <v>229</v>
      </c>
      <c r="R35" s="1" t="s">
        <v>98</v>
      </c>
      <c r="S35" s="1" t="s">
        <v>244</v>
      </c>
      <c r="T35" s="1" t="s">
        <v>165</v>
      </c>
      <c r="U35" s="1" t="s">
        <v>103</v>
      </c>
      <c r="V35" s="1" t="s">
        <v>70</v>
      </c>
      <c r="W35" s="1" t="s">
        <v>85</v>
      </c>
      <c r="X35" s="1" t="s">
        <v>156</v>
      </c>
      <c r="Y35" s="1"/>
      <c r="Z35" s="1" t="s">
        <v>244</v>
      </c>
      <c r="AA35" s="1" t="s">
        <v>404</v>
      </c>
      <c r="AB35" s="1" t="s">
        <v>111</v>
      </c>
      <c r="AC35" s="1" t="s">
        <v>131</v>
      </c>
      <c r="AD35" s="1" t="s">
        <v>226</v>
      </c>
      <c r="AE35" s="1" t="s">
        <v>76</v>
      </c>
      <c r="AF35" s="1" t="s">
        <v>119</v>
      </c>
      <c r="AG35" s="1" t="s">
        <v>150</v>
      </c>
      <c r="AH35" s="1" t="s">
        <v>473</v>
      </c>
      <c r="AI35" s="1" t="s">
        <v>138</v>
      </c>
      <c r="AJ35" s="1" t="s">
        <v>273</v>
      </c>
      <c r="AK35" s="1" t="s">
        <v>181</v>
      </c>
      <c r="AL35" s="1" t="s">
        <v>49</v>
      </c>
      <c r="AM35" s="1" t="s">
        <v>70</v>
      </c>
      <c r="AN35" s="1" t="s">
        <v>138</v>
      </c>
      <c r="AO35" s="1" t="s">
        <v>142</v>
      </c>
    </row>
    <row r="36" spans="1:41" x14ac:dyDescent="0.25">
      <c r="A36" s="1" t="s">
        <v>215</v>
      </c>
      <c r="B36" s="1" t="s">
        <v>215</v>
      </c>
      <c r="C36" s="1" t="s">
        <v>212</v>
      </c>
      <c r="D36" s="1"/>
      <c r="E36" s="1" t="s">
        <v>186</v>
      </c>
      <c r="F36" s="1" t="s">
        <v>52</v>
      </c>
      <c r="G36" s="5" t="s">
        <v>87</v>
      </c>
      <c r="H36" s="1" t="s">
        <v>67</v>
      </c>
      <c r="I36" s="1" t="s">
        <v>256</v>
      </c>
      <c r="J36" s="1" t="s">
        <v>60</v>
      </c>
      <c r="K36" s="1" t="s">
        <v>69</v>
      </c>
      <c r="L36" s="1" t="s">
        <v>142</v>
      </c>
      <c r="M36" s="1" t="s">
        <v>244</v>
      </c>
      <c r="N36" s="1" t="s">
        <v>474</v>
      </c>
      <c r="O36" s="1" t="s">
        <v>171</v>
      </c>
      <c r="P36" s="1" t="s">
        <v>208</v>
      </c>
      <c r="Q36" s="1" t="s">
        <v>475</v>
      </c>
      <c r="R36" s="1" t="s">
        <v>103</v>
      </c>
      <c r="S36" s="1" t="s">
        <v>247</v>
      </c>
      <c r="T36" s="1" t="s">
        <v>204</v>
      </c>
      <c r="U36" s="1" t="s">
        <v>94</v>
      </c>
      <c r="V36" s="1" t="s">
        <v>78</v>
      </c>
      <c r="W36" s="1" t="s">
        <v>94</v>
      </c>
      <c r="X36" s="1" t="s">
        <v>138</v>
      </c>
      <c r="Y36" s="1"/>
      <c r="Z36" s="1" t="s">
        <v>260</v>
      </c>
      <c r="AA36" s="1" t="s">
        <v>404</v>
      </c>
      <c r="AB36" s="1" t="s">
        <v>56</v>
      </c>
      <c r="AC36" s="1" t="s">
        <v>131</v>
      </c>
      <c r="AD36" s="1" t="s">
        <v>208</v>
      </c>
      <c r="AE36" s="1" t="s">
        <v>91</v>
      </c>
      <c r="AF36" s="1" t="s">
        <v>119</v>
      </c>
      <c r="AG36" s="1" t="s">
        <v>156</v>
      </c>
      <c r="AH36" s="1" t="s">
        <v>229</v>
      </c>
      <c r="AI36" s="1" t="s">
        <v>78</v>
      </c>
      <c r="AJ36" s="1" t="s">
        <v>239</v>
      </c>
      <c r="AK36" s="1" t="s">
        <v>184</v>
      </c>
      <c r="AL36" s="1" t="s">
        <v>85</v>
      </c>
      <c r="AM36" s="1" t="s">
        <v>92</v>
      </c>
      <c r="AN36" s="1" t="s">
        <v>131</v>
      </c>
      <c r="AO36" s="1" t="s">
        <v>142</v>
      </c>
    </row>
    <row r="37" spans="1:41" x14ac:dyDescent="0.25">
      <c r="A37" s="1" t="s">
        <v>220</v>
      </c>
      <c r="B37" s="1" t="s">
        <v>220</v>
      </c>
      <c r="C37" s="1" t="s">
        <v>216</v>
      </c>
      <c r="D37" s="1"/>
      <c r="E37" s="1" t="s">
        <v>79</v>
      </c>
      <c r="F37" s="1" t="s">
        <v>52</v>
      </c>
      <c r="G37" s="5" t="s">
        <v>252</v>
      </c>
      <c r="H37" s="1" t="s">
        <v>81</v>
      </c>
      <c r="I37" s="1" t="s">
        <v>269</v>
      </c>
      <c r="J37" s="1" t="s">
        <v>81</v>
      </c>
      <c r="K37" s="1" t="s">
        <v>169</v>
      </c>
      <c r="L37" s="1" t="s">
        <v>160</v>
      </c>
      <c r="M37" s="1" t="s">
        <v>260</v>
      </c>
      <c r="N37" s="1" t="s">
        <v>476</v>
      </c>
      <c r="O37" s="1" t="s">
        <v>108</v>
      </c>
      <c r="P37" s="1" t="s">
        <v>124</v>
      </c>
      <c r="Q37" s="1" t="s">
        <v>477</v>
      </c>
      <c r="R37" s="1" t="s">
        <v>92</v>
      </c>
      <c r="S37" s="1" t="s">
        <v>272</v>
      </c>
      <c r="T37" s="1" t="s">
        <v>204</v>
      </c>
      <c r="U37" s="1" t="s">
        <v>108</v>
      </c>
      <c r="V37" s="1" t="s">
        <v>48</v>
      </c>
      <c r="W37" s="1" t="s">
        <v>119</v>
      </c>
      <c r="X37" s="1" t="s">
        <v>150</v>
      </c>
      <c r="Y37" s="1"/>
      <c r="Z37" s="1" t="s">
        <v>226</v>
      </c>
      <c r="AA37" s="1" t="s">
        <v>404</v>
      </c>
      <c r="AB37" s="1" t="s">
        <v>478</v>
      </c>
      <c r="AC37" s="1" t="s">
        <v>98</v>
      </c>
      <c r="AD37" s="1" t="s">
        <v>230</v>
      </c>
      <c r="AE37" s="1" t="s">
        <v>61</v>
      </c>
      <c r="AF37" s="1" t="s">
        <v>119</v>
      </c>
      <c r="AG37" s="1" t="s">
        <v>131</v>
      </c>
      <c r="AH37" s="1" t="s">
        <v>479</v>
      </c>
      <c r="AI37" s="1" t="s">
        <v>70</v>
      </c>
      <c r="AJ37" s="1" t="s">
        <v>226</v>
      </c>
      <c r="AK37" s="1" t="s">
        <v>156</v>
      </c>
      <c r="AL37" s="1" t="s">
        <v>94</v>
      </c>
      <c r="AM37" s="1" t="s">
        <v>50</v>
      </c>
      <c r="AN37" s="1" t="s">
        <v>150</v>
      </c>
      <c r="AO37" s="1" t="s">
        <v>103</v>
      </c>
    </row>
    <row r="38" spans="1:41" x14ac:dyDescent="0.25">
      <c r="A38" s="1" t="s">
        <v>226</v>
      </c>
      <c r="B38" s="1" t="s">
        <v>226</v>
      </c>
      <c r="C38" s="1" t="s">
        <v>221</v>
      </c>
      <c r="D38" s="1"/>
      <c r="E38" s="1" t="s">
        <v>217</v>
      </c>
      <c r="F38" s="1" t="s">
        <v>65</v>
      </c>
      <c r="G38" s="5" t="s">
        <v>259</v>
      </c>
      <c r="H38" s="1" t="s">
        <v>106</v>
      </c>
      <c r="I38" s="1" t="s">
        <v>226</v>
      </c>
      <c r="J38" s="1" t="s">
        <v>387</v>
      </c>
      <c r="K38" s="1" t="s">
        <v>97</v>
      </c>
      <c r="L38" s="1" t="s">
        <v>124</v>
      </c>
      <c r="M38" s="1" t="s">
        <v>256</v>
      </c>
      <c r="N38" s="1" t="s">
        <v>480</v>
      </c>
      <c r="O38" s="1" t="s">
        <v>124</v>
      </c>
      <c r="P38" s="1" t="s">
        <v>156</v>
      </c>
      <c r="Q38" s="1" t="s">
        <v>481</v>
      </c>
      <c r="R38" s="1" t="s">
        <v>124</v>
      </c>
      <c r="S38" s="1" t="s">
        <v>264</v>
      </c>
      <c r="T38" s="1" t="s">
        <v>165</v>
      </c>
      <c r="U38" s="1" t="s">
        <v>78</v>
      </c>
      <c r="V38" s="1" t="s">
        <v>70</v>
      </c>
      <c r="W38" s="1" t="s">
        <v>156</v>
      </c>
      <c r="X38" s="1" t="s">
        <v>138</v>
      </c>
      <c r="Y38" s="1"/>
      <c r="Z38" s="1" t="s">
        <v>260</v>
      </c>
      <c r="AA38" s="1" t="s">
        <v>387</v>
      </c>
      <c r="AB38" s="1" t="s">
        <v>101</v>
      </c>
      <c r="AC38" s="1" t="s">
        <v>124</v>
      </c>
      <c r="AD38" s="1" t="s">
        <v>230</v>
      </c>
      <c r="AE38" s="1" t="s">
        <v>397</v>
      </c>
      <c r="AF38" s="1" t="s">
        <v>108</v>
      </c>
      <c r="AG38" s="1" t="s">
        <v>142</v>
      </c>
      <c r="AH38" s="1" t="s">
        <v>482</v>
      </c>
      <c r="AI38" s="1" t="s">
        <v>85</v>
      </c>
      <c r="AJ38" s="1" t="s">
        <v>230</v>
      </c>
      <c r="AK38" s="1" t="s">
        <v>175</v>
      </c>
      <c r="AL38" s="1" t="s">
        <v>112</v>
      </c>
      <c r="AM38" s="1" t="s">
        <v>94</v>
      </c>
      <c r="AN38" s="1" t="s">
        <v>94</v>
      </c>
      <c r="AO38" s="1" t="s">
        <v>131</v>
      </c>
    </row>
    <row r="39" spans="1:41" x14ac:dyDescent="0.25">
      <c r="A39" s="1" t="s">
        <v>230</v>
      </c>
      <c r="B39" s="1" t="s">
        <v>230</v>
      </c>
      <c r="C39" s="1" t="s">
        <v>227</v>
      </c>
      <c r="D39" s="1" t="s">
        <v>57</v>
      </c>
      <c r="E39" s="1" t="s">
        <v>241</v>
      </c>
      <c r="F39" s="1" t="s">
        <v>52</v>
      </c>
      <c r="G39" s="5" t="s">
        <v>183</v>
      </c>
      <c r="H39" s="1" t="s">
        <v>53</v>
      </c>
      <c r="I39" s="1" t="s">
        <v>264</v>
      </c>
      <c r="J39" s="1" t="s">
        <v>72</v>
      </c>
      <c r="K39" s="1" t="s">
        <v>483</v>
      </c>
      <c r="L39" s="1" t="s">
        <v>142</v>
      </c>
      <c r="M39" s="1" t="s">
        <v>247</v>
      </c>
      <c r="N39" s="1" t="s">
        <v>297</v>
      </c>
      <c r="O39" s="1" t="s">
        <v>119</v>
      </c>
      <c r="P39" s="1" t="s">
        <v>142</v>
      </c>
      <c r="Q39" s="1" t="s">
        <v>484</v>
      </c>
      <c r="R39" s="1" t="s">
        <v>119</v>
      </c>
      <c r="S39" s="1" t="s">
        <v>272</v>
      </c>
      <c r="T39" s="1" t="s">
        <v>226</v>
      </c>
      <c r="U39" s="1" t="s">
        <v>85</v>
      </c>
      <c r="V39" s="1" t="s">
        <v>94</v>
      </c>
      <c r="W39" s="1" t="s">
        <v>78</v>
      </c>
      <c r="X39" s="1" t="s">
        <v>119</v>
      </c>
      <c r="Y39" s="1"/>
      <c r="Z39" s="1" t="s">
        <v>256</v>
      </c>
      <c r="AA39" s="1" t="s">
        <v>218</v>
      </c>
      <c r="AB39" s="1" t="s">
        <v>402</v>
      </c>
      <c r="AC39" s="1" t="s">
        <v>131</v>
      </c>
      <c r="AD39" s="1" t="s">
        <v>226</v>
      </c>
      <c r="AE39" s="1" t="s">
        <v>76</v>
      </c>
      <c r="AF39" s="1" t="s">
        <v>103</v>
      </c>
      <c r="AG39" s="1" t="s">
        <v>131</v>
      </c>
      <c r="AH39" s="1" t="s">
        <v>418</v>
      </c>
      <c r="AI39" s="1" t="s">
        <v>98</v>
      </c>
      <c r="AJ39" s="1" t="s">
        <v>267</v>
      </c>
      <c r="AK39" s="1" t="s">
        <v>204</v>
      </c>
      <c r="AL39" s="1" t="s">
        <v>48</v>
      </c>
      <c r="AM39" s="1" t="s">
        <v>49</v>
      </c>
      <c r="AN39" s="1" t="s">
        <v>98</v>
      </c>
      <c r="AO39" s="1" t="s">
        <v>138</v>
      </c>
    </row>
    <row r="40" spans="1:41" x14ac:dyDescent="0.25">
      <c r="A40" s="1" t="s">
        <v>235</v>
      </c>
      <c r="B40" s="1" t="s">
        <v>235</v>
      </c>
      <c r="C40" s="1" t="s">
        <v>231</v>
      </c>
      <c r="D40" s="1" t="s">
        <v>57</v>
      </c>
      <c r="E40" s="1" t="s">
        <v>201</v>
      </c>
      <c r="F40" s="1" t="s">
        <v>52</v>
      </c>
      <c r="G40" s="5" t="s">
        <v>296</v>
      </c>
      <c r="H40" s="1" t="s">
        <v>145</v>
      </c>
      <c r="I40" s="1" t="s">
        <v>269</v>
      </c>
      <c r="J40" s="1" t="s">
        <v>411</v>
      </c>
      <c r="K40" s="1" t="s">
        <v>317</v>
      </c>
      <c r="L40" s="1" t="s">
        <v>142</v>
      </c>
      <c r="M40" s="1" t="s">
        <v>226</v>
      </c>
      <c r="N40" s="1" t="s">
        <v>420</v>
      </c>
      <c r="O40" s="1" t="s">
        <v>142</v>
      </c>
      <c r="P40" s="1" t="s">
        <v>181</v>
      </c>
      <c r="Q40" s="1" t="s">
        <v>485</v>
      </c>
      <c r="R40" s="1" t="s">
        <v>103</v>
      </c>
      <c r="S40" s="1" t="s">
        <v>275</v>
      </c>
      <c r="T40" s="1" t="s">
        <v>215</v>
      </c>
      <c r="U40" s="1" t="s">
        <v>78</v>
      </c>
      <c r="V40" s="1" t="s">
        <v>50</v>
      </c>
      <c r="W40" s="1" t="s">
        <v>124</v>
      </c>
      <c r="X40" s="1" t="s">
        <v>181</v>
      </c>
      <c r="Y40" s="1"/>
      <c r="Z40" s="1" t="s">
        <v>239</v>
      </c>
      <c r="AA40" s="1" t="s">
        <v>423</v>
      </c>
      <c r="AB40" s="1" t="s">
        <v>486</v>
      </c>
      <c r="AC40" s="1" t="s">
        <v>150</v>
      </c>
      <c r="AD40" s="1" t="s">
        <v>254</v>
      </c>
      <c r="AE40" s="1" t="s">
        <v>455</v>
      </c>
      <c r="AF40" s="1" t="s">
        <v>160</v>
      </c>
      <c r="AG40" s="1" t="s">
        <v>195</v>
      </c>
      <c r="AH40" s="1" t="s">
        <v>435</v>
      </c>
      <c r="AI40" s="1" t="s">
        <v>112</v>
      </c>
      <c r="AJ40" s="1" t="s">
        <v>235</v>
      </c>
      <c r="AK40" s="1" t="s">
        <v>181</v>
      </c>
      <c r="AL40" s="1" t="s">
        <v>103</v>
      </c>
      <c r="AM40" s="1" t="s">
        <v>78</v>
      </c>
      <c r="AN40" s="1" t="s">
        <v>98</v>
      </c>
      <c r="AO40" s="1" t="s">
        <v>150</v>
      </c>
    </row>
    <row r="41" spans="1:41" x14ac:dyDescent="0.25">
      <c r="A41" s="1" t="s">
        <v>239</v>
      </c>
      <c r="B41" s="1" t="s">
        <v>239</v>
      </c>
      <c r="C41" s="1" t="s">
        <v>236</v>
      </c>
      <c r="D41" s="1"/>
      <c r="E41" s="1" t="s">
        <v>133</v>
      </c>
      <c r="F41" s="1" t="s">
        <v>52</v>
      </c>
      <c r="G41" s="5" t="s">
        <v>178</v>
      </c>
      <c r="H41" s="1" t="s">
        <v>59</v>
      </c>
      <c r="I41" s="1" t="s">
        <v>251</v>
      </c>
      <c r="J41" s="1" t="s">
        <v>419</v>
      </c>
      <c r="K41" s="1" t="s">
        <v>313</v>
      </c>
      <c r="L41" s="1" t="s">
        <v>156</v>
      </c>
      <c r="M41" s="1" t="s">
        <v>251</v>
      </c>
      <c r="N41" s="1" t="s">
        <v>194</v>
      </c>
      <c r="O41" s="1" t="s">
        <v>150</v>
      </c>
      <c r="P41" s="1" t="s">
        <v>171</v>
      </c>
      <c r="Q41" s="1" t="s">
        <v>452</v>
      </c>
      <c r="R41" s="1" t="s">
        <v>108</v>
      </c>
      <c r="S41" s="1" t="s">
        <v>260</v>
      </c>
      <c r="T41" s="1" t="s">
        <v>165</v>
      </c>
      <c r="U41" s="1" t="s">
        <v>49</v>
      </c>
      <c r="V41" s="1" t="s">
        <v>78</v>
      </c>
      <c r="W41" s="1" t="s">
        <v>124</v>
      </c>
      <c r="X41" s="1" t="s">
        <v>171</v>
      </c>
      <c r="Y41" s="1"/>
      <c r="Z41" s="1" t="s">
        <v>247</v>
      </c>
      <c r="AA41" s="1" t="s">
        <v>423</v>
      </c>
      <c r="AB41" s="1" t="s">
        <v>122</v>
      </c>
      <c r="AC41" s="1" t="s">
        <v>119</v>
      </c>
      <c r="AD41" s="1" t="s">
        <v>244</v>
      </c>
      <c r="AE41" s="1" t="s">
        <v>213</v>
      </c>
      <c r="AF41" s="1" t="s">
        <v>124</v>
      </c>
      <c r="AG41" s="1" t="s">
        <v>171</v>
      </c>
      <c r="AH41" s="1" t="s">
        <v>463</v>
      </c>
      <c r="AI41" s="1" t="s">
        <v>108</v>
      </c>
      <c r="AJ41" s="1" t="s">
        <v>240</v>
      </c>
      <c r="AK41" s="1" t="s">
        <v>171</v>
      </c>
      <c r="AL41" s="1" t="s">
        <v>103</v>
      </c>
      <c r="AM41" s="1" t="s">
        <v>103</v>
      </c>
      <c r="AN41" s="1" t="s">
        <v>108</v>
      </c>
      <c r="AO41" s="1" t="s">
        <v>119</v>
      </c>
    </row>
    <row r="42" spans="1:41" x14ac:dyDescent="0.25">
      <c r="A42" s="1" t="s">
        <v>240</v>
      </c>
      <c r="B42" s="1" t="s">
        <v>240</v>
      </c>
      <c r="C42" s="1" t="s">
        <v>487</v>
      </c>
      <c r="D42" s="1"/>
      <c r="E42" s="1" t="s">
        <v>144</v>
      </c>
      <c r="F42" s="1" t="s">
        <v>52</v>
      </c>
      <c r="G42" s="5" t="s">
        <v>72</v>
      </c>
      <c r="H42" s="1" t="s">
        <v>265</v>
      </c>
      <c r="I42" s="1" t="s">
        <v>240</v>
      </c>
      <c r="J42" s="1" t="s">
        <v>459</v>
      </c>
      <c r="K42" s="1" t="s">
        <v>164</v>
      </c>
      <c r="L42" s="1" t="s">
        <v>85</v>
      </c>
      <c r="M42" s="1" t="s">
        <v>190</v>
      </c>
      <c r="N42" s="1" t="s">
        <v>488</v>
      </c>
      <c r="O42" s="1" t="s">
        <v>138</v>
      </c>
      <c r="P42" s="1" t="s">
        <v>171</v>
      </c>
      <c r="Q42" s="1" t="s">
        <v>489</v>
      </c>
      <c r="R42" s="1" t="s">
        <v>78</v>
      </c>
      <c r="S42" s="1" t="s">
        <v>226</v>
      </c>
      <c r="T42" s="1" t="s">
        <v>171</v>
      </c>
      <c r="U42" s="1" t="s">
        <v>94</v>
      </c>
      <c r="V42" s="1" t="s">
        <v>92</v>
      </c>
      <c r="W42" s="1" t="s">
        <v>112</v>
      </c>
      <c r="X42" s="1" t="s">
        <v>138</v>
      </c>
      <c r="Y42" s="1"/>
      <c r="Z42" s="1" t="s">
        <v>230</v>
      </c>
      <c r="AA42" s="1" t="s">
        <v>60</v>
      </c>
      <c r="AB42" s="1" t="s">
        <v>278</v>
      </c>
      <c r="AC42" s="1" t="s">
        <v>94</v>
      </c>
      <c r="AD42" s="1" t="s">
        <v>211</v>
      </c>
      <c r="AE42" s="1" t="s">
        <v>61</v>
      </c>
      <c r="AF42" s="1" t="s">
        <v>131</v>
      </c>
      <c r="AG42" s="1" t="s">
        <v>160</v>
      </c>
      <c r="AH42" s="1" t="s">
        <v>398</v>
      </c>
      <c r="AI42" s="1" t="s">
        <v>112</v>
      </c>
      <c r="AJ42" s="1" t="s">
        <v>262</v>
      </c>
      <c r="AK42" s="1" t="s">
        <v>189</v>
      </c>
      <c r="AL42" s="1" t="s">
        <v>103</v>
      </c>
      <c r="AM42" s="1" t="s">
        <v>94</v>
      </c>
      <c r="AN42" s="1" t="s">
        <v>112</v>
      </c>
      <c r="AO42" s="1" t="s">
        <v>138</v>
      </c>
    </row>
    <row r="43" spans="1:41" x14ac:dyDescent="0.25">
      <c r="A43" s="1" t="s">
        <v>244</v>
      </c>
      <c r="B43" s="1" t="s">
        <v>244</v>
      </c>
      <c r="C43" s="1" t="s">
        <v>490</v>
      </c>
      <c r="D43" s="1"/>
      <c r="E43" s="1" t="s">
        <v>58</v>
      </c>
      <c r="F43" s="1" t="s">
        <v>52</v>
      </c>
      <c r="G43" s="5" t="s">
        <v>134</v>
      </c>
      <c r="H43" s="1" t="s">
        <v>88</v>
      </c>
      <c r="I43" s="1" t="s">
        <v>256</v>
      </c>
      <c r="J43" s="1" t="s">
        <v>370</v>
      </c>
      <c r="K43" s="1" t="s">
        <v>238</v>
      </c>
      <c r="L43" s="1" t="s">
        <v>112</v>
      </c>
      <c r="M43" s="1" t="s">
        <v>200</v>
      </c>
      <c r="N43" s="1" t="s">
        <v>491</v>
      </c>
      <c r="O43" s="1" t="s">
        <v>142</v>
      </c>
      <c r="P43" s="1" t="s">
        <v>171</v>
      </c>
      <c r="Q43" s="1" t="s">
        <v>492</v>
      </c>
      <c r="R43" s="1" t="s">
        <v>49</v>
      </c>
      <c r="S43" s="1" t="s">
        <v>247</v>
      </c>
      <c r="T43" s="1" t="s">
        <v>200</v>
      </c>
      <c r="U43" s="1" t="s">
        <v>49</v>
      </c>
      <c r="V43" s="1" t="s">
        <v>85</v>
      </c>
      <c r="W43" s="1" t="s">
        <v>131</v>
      </c>
      <c r="X43" s="1" t="s">
        <v>156</v>
      </c>
      <c r="Y43" s="1"/>
      <c r="Z43" s="1" t="s">
        <v>235</v>
      </c>
      <c r="AA43" s="1" t="s">
        <v>81</v>
      </c>
      <c r="AB43" s="1" t="s">
        <v>478</v>
      </c>
      <c r="AC43" s="1" t="s">
        <v>131</v>
      </c>
      <c r="AD43" s="1" t="s">
        <v>251</v>
      </c>
      <c r="AE43" s="1" t="s">
        <v>320</v>
      </c>
      <c r="AF43" s="1" t="s">
        <v>175</v>
      </c>
      <c r="AG43" s="1" t="s">
        <v>190</v>
      </c>
      <c r="AH43" s="1" t="s">
        <v>493</v>
      </c>
      <c r="AI43" s="1" t="s">
        <v>119</v>
      </c>
      <c r="AJ43" s="1" t="s">
        <v>244</v>
      </c>
      <c r="AK43" s="1" t="s">
        <v>138</v>
      </c>
      <c r="AL43" s="1" t="s">
        <v>98</v>
      </c>
      <c r="AM43" s="1" t="s">
        <v>48</v>
      </c>
      <c r="AN43" s="1" t="s">
        <v>94</v>
      </c>
      <c r="AO43" s="1" t="s">
        <v>171</v>
      </c>
    </row>
    <row r="44" spans="1:41" x14ac:dyDescent="0.25">
      <c r="A44" s="1"/>
      <c r="B44" s="1"/>
      <c r="C44" s="1"/>
      <c r="D44" s="1"/>
      <c r="E44" s="1"/>
      <c r="F44" s="1"/>
      <c r="G44" s="5"/>
      <c r="H44" s="1"/>
      <c r="I44" s="1" t="s">
        <v>1</v>
      </c>
      <c r="J44" s="1" t="s">
        <v>1</v>
      </c>
      <c r="K44" s="1" t="s">
        <v>1</v>
      </c>
      <c r="L44" s="1" t="s">
        <v>1</v>
      </c>
      <c r="M44" s="1" t="s">
        <v>1</v>
      </c>
      <c r="N44" s="1" t="s">
        <v>1</v>
      </c>
      <c r="O44" s="1" t="s">
        <v>1</v>
      </c>
      <c r="P44" s="1" t="s">
        <v>1</v>
      </c>
      <c r="Q44" s="1" t="s">
        <v>1</v>
      </c>
      <c r="R44" s="1" t="s">
        <v>1</v>
      </c>
      <c r="S44" s="1" t="s">
        <v>1</v>
      </c>
      <c r="T44" s="1" t="s">
        <v>1</v>
      </c>
      <c r="U44" s="1" t="s">
        <v>1</v>
      </c>
      <c r="V44" s="1" t="s">
        <v>1</v>
      </c>
      <c r="W44" s="1" t="s">
        <v>1</v>
      </c>
      <c r="X44" s="1" t="s">
        <v>1</v>
      </c>
      <c r="Y44" s="1"/>
      <c r="Z44" s="1" t="s">
        <v>701</v>
      </c>
      <c r="AA44" s="1" t="s">
        <v>701</v>
      </c>
      <c r="AB44" s="1" t="s">
        <v>701</v>
      </c>
      <c r="AC44" s="1" t="s">
        <v>701</v>
      </c>
      <c r="AD44" s="1" t="s">
        <v>701</v>
      </c>
      <c r="AE44" s="1" t="s">
        <v>701</v>
      </c>
      <c r="AF44" s="1" t="s">
        <v>701</v>
      </c>
      <c r="AG44" s="1" t="s">
        <v>701</v>
      </c>
      <c r="AH44" s="1" t="s">
        <v>701</v>
      </c>
      <c r="AI44" s="1" t="s">
        <v>701</v>
      </c>
      <c r="AJ44" s="1" t="s">
        <v>701</v>
      </c>
      <c r="AK44" s="1" t="s">
        <v>701</v>
      </c>
      <c r="AL44" s="1" t="s">
        <v>701</v>
      </c>
      <c r="AM44" s="1" t="s">
        <v>701</v>
      </c>
      <c r="AN44" s="1" t="s">
        <v>701</v>
      </c>
      <c r="AO44" s="1" t="s">
        <v>701</v>
      </c>
    </row>
    <row r="45" spans="1:41" x14ac:dyDescent="0.25">
      <c r="A45" s="1" t="s">
        <v>40</v>
      </c>
      <c r="B45" s="1" t="s">
        <v>41</v>
      </c>
      <c r="C45" s="1" t="s">
        <v>42</v>
      </c>
      <c r="D45" s="1" t="s">
        <v>702</v>
      </c>
      <c r="E45" s="1" t="s">
        <v>44</v>
      </c>
      <c r="F45" s="1" t="s">
        <v>45</v>
      </c>
      <c r="G45" s="5" t="s">
        <v>46</v>
      </c>
      <c r="H45" s="1" t="s">
        <v>44</v>
      </c>
      <c r="I45" s="1" t="s">
        <v>703</v>
      </c>
      <c r="J45" s="1" t="s">
        <v>704</v>
      </c>
      <c r="K45" s="1" t="s">
        <v>705</v>
      </c>
      <c r="L45" s="1" t="s">
        <v>706</v>
      </c>
      <c r="M45" s="1" t="s">
        <v>707</v>
      </c>
      <c r="N45" s="1" t="s">
        <v>708</v>
      </c>
      <c r="O45" s="1" t="s">
        <v>709</v>
      </c>
      <c r="P45" s="1" t="s">
        <v>710</v>
      </c>
      <c r="Q45" s="1" t="s">
        <v>711</v>
      </c>
      <c r="R45" s="1" t="s">
        <v>712</v>
      </c>
      <c r="S45" s="1" t="s">
        <v>713</v>
      </c>
      <c r="T45" s="1" t="s">
        <v>714</v>
      </c>
      <c r="U45" s="1" t="s">
        <v>715</v>
      </c>
      <c r="V45" s="1" t="s">
        <v>716</v>
      </c>
      <c r="W45" s="1" t="s">
        <v>717</v>
      </c>
      <c r="X45" s="1" t="s">
        <v>718</v>
      </c>
      <c r="Y45" s="1" t="s">
        <v>702</v>
      </c>
      <c r="Z45" s="1" t="s">
        <v>703</v>
      </c>
      <c r="AA45" s="1" t="s">
        <v>704</v>
      </c>
      <c r="AB45" s="1" t="s">
        <v>705</v>
      </c>
      <c r="AC45" s="1" t="s">
        <v>706</v>
      </c>
      <c r="AD45" s="1" t="s">
        <v>707</v>
      </c>
      <c r="AE45" s="1" t="s">
        <v>708</v>
      </c>
      <c r="AF45" s="1" t="s">
        <v>709</v>
      </c>
      <c r="AG45" s="1" t="s">
        <v>710</v>
      </c>
      <c r="AH45" s="1" t="s">
        <v>711</v>
      </c>
      <c r="AI45" s="1" t="s">
        <v>712</v>
      </c>
      <c r="AJ45" s="1" t="s">
        <v>713</v>
      </c>
      <c r="AK45" s="1" t="s">
        <v>714</v>
      </c>
      <c r="AL45" s="1" t="s">
        <v>715</v>
      </c>
      <c r="AM45" s="1" t="s">
        <v>716</v>
      </c>
      <c r="AN45" s="1" t="s">
        <v>717</v>
      </c>
      <c r="AO45" s="1" t="s">
        <v>718</v>
      </c>
    </row>
    <row r="46" spans="1:41" x14ac:dyDescent="0.25">
      <c r="A46" s="1" t="s">
        <v>247</v>
      </c>
      <c r="B46" s="1" t="s">
        <v>247</v>
      </c>
      <c r="C46" s="1" t="s">
        <v>248</v>
      </c>
      <c r="D46" s="1" t="s">
        <v>57</v>
      </c>
      <c r="E46" s="1" t="s">
        <v>167</v>
      </c>
      <c r="F46" s="1" t="s">
        <v>52</v>
      </c>
      <c r="G46" s="5" t="s">
        <v>183</v>
      </c>
      <c r="H46" s="1" t="s">
        <v>106</v>
      </c>
      <c r="I46" s="1" t="s">
        <v>251</v>
      </c>
      <c r="J46" s="1" t="s">
        <v>404</v>
      </c>
      <c r="K46" s="1" t="s">
        <v>323</v>
      </c>
      <c r="L46" s="1" t="s">
        <v>98</v>
      </c>
      <c r="M46" s="1" t="s">
        <v>190</v>
      </c>
      <c r="N46" s="1" t="s">
        <v>77</v>
      </c>
      <c r="O46" s="1" t="s">
        <v>208</v>
      </c>
      <c r="P46" s="1" t="s">
        <v>244</v>
      </c>
      <c r="Q46" s="1" t="s">
        <v>494</v>
      </c>
      <c r="R46" s="1" t="s">
        <v>131</v>
      </c>
      <c r="S46" s="1" t="s">
        <v>270</v>
      </c>
      <c r="T46" s="1" t="s">
        <v>171</v>
      </c>
      <c r="U46" s="1" t="s">
        <v>103</v>
      </c>
      <c r="V46" s="1" t="s">
        <v>48</v>
      </c>
      <c r="W46" s="1" t="s">
        <v>138</v>
      </c>
      <c r="X46" s="1" t="s">
        <v>160</v>
      </c>
      <c r="Y46" s="1"/>
      <c r="Z46" s="1" t="s">
        <v>254</v>
      </c>
      <c r="AA46" s="1" t="s">
        <v>430</v>
      </c>
      <c r="AB46" s="1" t="s">
        <v>148</v>
      </c>
      <c r="AC46" s="1" t="s">
        <v>98</v>
      </c>
      <c r="AD46" s="1" t="s">
        <v>211</v>
      </c>
      <c r="AE46" s="1" t="s">
        <v>495</v>
      </c>
      <c r="AF46" s="1" t="s">
        <v>160</v>
      </c>
      <c r="AG46" s="1" t="s">
        <v>184</v>
      </c>
      <c r="AH46" s="1" t="s">
        <v>464</v>
      </c>
      <c r="AI46" s="1" t="s">
        <v>70</v>
      </c>
      <c r="AJ46" s="1" t="s">
        <v>220</v>
      </c>
      <c r="AK46" s="1" t="s">
        <v>200</v>
      </c>
      <c r="AL46" s="1" t="s">
        <v>103</v>
      </c>
      <c r="AM46" s="1" t="s">
        <v>49</v>
      </c>
      <c r="AN46" s="1" t="s">
        <v>138</v>
      </c>
      <c r="AO46" s="1" t="s">
        <v>195</v>
      </c>
    </row>
    <row r="47" spans="1:41" x14ac:dyDescent="0.25">
      <c r="A47" s="1" t="s">
        <v>251</v>
      </c>
      <c r="B47" s="1" t="s">
        <v>251</v>
      </c>
      <c r="C47" s="1" t="s">
        <v>496</v>
      </c>
      <c r="D47" s="1" t="s">
        <v>57</v>
      </c>
      <c r="E47" s="1" t="s">
        <v>79</v>
      </c>
      <c r="F47" s="1" t="s">
        <v>65</v>
      </c>
      <c r="G47" s="5" t="s">
        <v>53</v>
      </c>
      <c r="H47" s="1" t="s">
        <v>178</v>
      </c>
      <c r="I47" s="1" t="s">
        <v>254</v>
      </c>
      <c r="J47" s="1" t="s">
        <v>423</v>
      </c>
      <c r="K47" s="1" t="s">
        <v>153</v>
      </c>
      <c r="L47" s="1" t="s">
        <v>103</v>
      </c>
      <c r="M47" s="1" t="s">
        <v>235</v>
      </c>
      <c r="N47" s="1" t="s">
        <v>497</v>
      </c>
      <c r="O47" s="1" t="s">
        <v>142</v>
      </c>
      <c r="P47" s="1" t="s">
        <v>175</v>
      </c>
      <c r="Q47" s="1" t="s">
        <v>498</v>
      </c>
      <c r="R47" s="1" t="s">
        <v>98</v>
      </c>
      <c r="S47" s="1" t="s">
        <v>240</v>
      </c>
      <c r="T47" s="1" t="s">
        <v>181</v>
      </c>
      <c r="U47" s="1" t="s">
        <v>98</v>
      </c>
      <c r="V47" s="1" t="s">
        <v>49</v>
      </c>
      <c r="W47" s="1" t="s">
        <v>94</v>
      </c>
      <c r="X47" s="1" t="s">
        <v>138</v>
      </c>
      <c r="Y47" s="1"/>
      <c r="Z47" s="1" t="s">
        <v>254</v>
      </c>
      <c r="AA47" s="1" t="s">
        <v>430</v>
      </c>
      <c r="AB47" s="1" t="s">
        <v>148</v>
      </c>
      <c r="AC47" s="1" t="s">
        <v>165</v>
      </c>
      <c r="AD47" s="1" t="s">
        <v>244</v>
      </c>
      <c r="AE47" s="1" t="s">
        <v>180</v>
      </c>
      <c r="AF47" s="1" t="s">
        <v>124</v>
      </c>
      <c r="AG47" s="1" t="s">
        <v>160</v>
      </c>
      <c r="AH47" s="1" t="s">
        <v>499</v>
      </c>
      <c r="AI47" s="1" t="s">
        <v>94</v>
      </c>
      <c r="AJ47" s="1" t="s">
        <v>256</v>
      </c>
      <c r="AK47" s="1" t="s">
        <v>189</v>
      </c>
      <c r="AL47" s="1" t="s">
        <v>70</v>
      </c>
      <c r="AM47" s="1" t="s">
        <v>50</v>
      </c>
      <c r="AN47" s="1" t="s">
        <v>142</v>
      </c>
      <c r="AO47" s="1" t="s">
        <v>160</v>
      </c>
    </row>
    <row r="48" spans="1:41" x14ac:dyDescent="0.25">
      <c r="A48" s="1" t="s">
        <v>254</v>
      </c>
      <c r="B48" s="1" t="s">
        <v>254</v>
      </c>
      <c r="C48" s="1" t="s">
        <v>255</v>
      </c>
      <c r="D48" s="1"/>
      <c r="E48" s="1" t="s">
        <v>51</v>
      </c>
      <c r="F48" s="1" t="s">
        <v>52</v>
      </c>
      <c r="G48" s="5" t="s">
        <v>53</v>
      </c>
      <c r="H48" s="1" t="s">
        <v>128</v>
      </c>
      <c r="I48" s="1" t="s">
        <v>256</v>
      </c>
      <c r="J48" s="1" t="s">
        <v>301</v>
      </c>
      <c r="K48" s="1" t="s">
        <v>214</v>
      </c>
      <c r="L48" s="1" t="s">
        <v>98</v>
      </c>
      <c r="M48" s="1" t="s">
        <v>200</v>
      </c>
      <c r="N48" s="1" t="s">
        <v>500</v>
      </c>
      <c r="O48" s="1" t="s">
        <v>138</v>
      </c>
      <c r="P48" s="1" t="s">
        <v>171</v>
      </c>
      <c r="Q48" s="1" t="s">
        <v>489</v>
      </c>
      <c r="R48" s="1" t="s">
        <v>103</v>
      </c>
      <c r="S48" s="1" t="s">
        <v>226</v>
      </c>
      <c r="T48" s="1" t="s">
        <v>181</v>
      </c>
      <c r="U48" s="1" t="s">
        <v>108</v>
      </c>
      <c r="V48" s="1" t="s">
        <v>94</v>
      </c>
      <c r="W48" s="1" t="s">
        <v>92</v>
      </c>
      <c r="X48" s="1" t="s">
        <v>150</v>
      </c>
      <c r="Y48" s="1"/>
      <c r="Z48" s="1" t="s">
        <v>251</v>
      </c>
      <c r="AA48" s="1" t="s">
        <v>416</v>
      </c>
      <c r="AB48" s="1" t="s">
        <v>279</v>
      </c>
      <c r="AC48" s="1" t="s">
        <v>92</v>
      </c>
      <c r="AD48" s="1" t="s">
        <v>165</v>
      </c>
      <c r="AE48" s="1" t="s">
        <v>77</v>
      </c>
      <c r="AF48" s="1" t="s">
        <v>131</v>
      </c>
      <c r="AG48" s="1" t="s">
        <v>156</v>
      </c>
      <c r="AH48" s="1" t="s">
        <v>501</v>
      </c>
      <c r="AI48" s="1" t="s">
        <v>103</v>
      </c>
      <c r="AJ48" s="1" t="s">
        <v>254</v>
      </c>
      <c r="AK48" s="1" t="s">
        <v>181</v>
      </c>
      <c r="AL48" s="1" t="s">
        <v>78</v>
      </c>
      <c r="AM48" s="1" t="s">
        <v>70</v>
      </c>
      <c r="AN48" s="1" t="s">
        <v>156</v>
      </c>
      <c r="AO48" s="1" t="s">
        <v>171</v>
      </c>
    </row>
    <row r="49" spans="1:41" x14ac:dyDescent="0.25">
      <c r="A49" s="1" t="s">
        <v>256</v>
      </c>
      <c r="B49" s="1" t="s">
        <v>256</v>
      </c>
      <c r="C49" s="1" t="s">
        <v>257</v>
      </c>
      <c r="D49" s="1" t="s">
        <v>57</v>
      </c>
      <c r="E49" s="1" t="s">
        <v>176</v>
      </c>
      <c r="F49" s="1" t="s">
        <v>52</v>
      </c>
      <c r="G49" s="5" t="s">
        <v>80</v>
      </c>
      <c r="H49" s="1" t="s">
        <v>88</v>
      </c>
      <c r="I49" s="1" t="s">
        <v>254</v>
      </c>
      <c r="J49" s="1" t="s">
        <v>404</v>
      </c>
      <c r="K49" s="1" t="s">
        <v>69</v>
      </c>
      <c r="L49" s="1" t="s">
        <v>98</v>
      </c>
      <c r="M49" s="1" t="s">
        <v>204</v>
      </c>
      <c r="N49" s="1" t="s">
        <v>502</v>
      </c>
      <c r="O49" s="1" t="s">
        <v>165</v>
      </c>
      <c r="P49" s="1" t="s">
        <v>190</v>
      </c>
      <c r="Q49" s="1" t="s">
        <v>503</v>
      </c>
      <c r="R49" s="1" t="s">
        <v>103</v>
      </c>
      <c r="S49" s="1" t="s">
        <v>264</v>
      </c>
      <c r="T49" s="1" t="s">
        <v>184</v>
      </c>
      <c r="U49" s="1" t="s">
        <v>78</v>
      </c>
      <c r="V49" s="1" t="s">
        <v>48</v>
      </c>
      <c r="W49" s="1" t="s">
        <v>94</v>
      </c>
      <c r="X49" s="1" t="s">
        <v>142</v>
      </c>
      <c r="Y49" s="1"/>
      <c r="Z49" s="1" t="s">
        <v>230</v>
      </c>
      <c r="AA49" s="1" t="s">
        <v>301</v>
      </c>
      <c r="AB49" s="1" t="s">
        <v>424</v>
      </c>
      <c r="AC49" s="1" t="s">
        <v>156</v>
      </c>
      <c r="AD49" s="1" t="s">
        <v>284</v>
      </c>
      <c r="AE49" s="1" t="s">
        <v>55</v>
      </c>
      <c r="AF49" s="1" t="s">
        <v>165</v>
      </c>
      <c r="AG49" s="1" t="s">
        <v>175</v>
      </c>
      <c r="AH49" s="1" t="s">
        <v>504</v>
      </c>
      <c r="AI49" s="1" t="s">
        <v>119</v>
      </c>
      <c r="AJ49" s="1" t="s">
        <v>256</v>
      </c>
      <c r="AK49" s="1" t="s">
        <v>184</v>
      </c>
      <c r="AL49" s="1" t="s">
        <v>70</v>
      </c>
      <c r="AM49" s="1" t="s">
        <v>78</v>
      </c>
      <c r="AN49" s="1" t="s">
        <v>94</v>
      </c>
      <c r="AO49" s="1" t="s">
        <v>160</v>
      </c>
    </row>
    <row r="50" spans="1:41" x14ac:dyDescent="0.25">
      <c r="A50" s="1" t="s">
        <v>260</v>
      </c>
      <c r="B50" s="1" t="s">
        <v>260</v>
      </c>
      <c r="C50" s="1" t="s">
        <v>505</v>
      </c>
      <c r="D50" s="1" t="s">
        <v>57</v>
      </c>
      <c r="E50" s="1" t="s">
        <v>197</v>
      </c>
      <c r="F50" s="1" t="s">
        <v>65</v>
      </c>
      <c r="G50" s="5" t="s">
        <v>419</v>
      </c>
      <c r="H50" s="1" t="s">
        <v>67</v>
      </c>
      <c r="I50" s="1" t="s">
        <v>226</v>
      </c>
      <c r="J50" s="1" t="s">
        <v>218</v>
      </c>
      <c r="K50" s="1" t="s">
        <v>147</v>
      </c>
      <c r="L50" s="1" t="s">
        <v>92</v>
      </c>
      <c r="M50" s="1" t="s">
        <v>226</v>
      </c>
      <c r="N50" s="1" t="s">
        <v>84</v>
      </c>
      <c r="O50" s="1" t="s">
        <v>108</v>
      </c>
      <c r="P50" s="1" t="s">
        <v>131</v>
      </c>
      <c r="Q50" s="1" t="s">
        <v>506</v>
      </c>
      <c r="R50" s="1" t="s">
        <v>119</v>
      </c>
      <c r="S50" s="1" t="s">
        <v>267</v>
      </c>
      <c r="T50" s="1" t="s">
        <v>156</v>
      </c>
      <c r="U50" s="1" t="s">
        <v>98</v>
      </c>
      <c r="V50" s="1" t="s">
        <v>50</v>
      </c>
      <c r="W50" s="1" t="s">
        <v>98</v>
      </c>
      <c r="X50" s="1" t="s">
        <v>103</v>
      </c>
      <c r="Y50" s="1"/>
      <c r="Z50" s="1" t="s">
        <v>247</v>
      </c>
      <c r="AA50" s="1" t="s">
        <v>423</v>
      </c>
      <c r="AB50" s="1" t="s">
        <v>122</v>
      </c>
      <c r="AC50" s="1" t="s">
        <v>175</v>
      </c>
      <c r="AD50" s="1" t="s">
        <v>284</v>
      </c>
      <c r="AE50" s="1" t="s">
        <v>486</v>
      </c>
      <c r="AF50" s="1" t="s">
        <v>119</v>
      </c>
      <c r="AG50" s="1" t="s">
        <v>124</v>
      </c>
      <c r="AH50" s="1" t="s">
        <v>507</v>
      </c>
      <c r="AI50" s="1" t="s">
        <v>108</v>
      </c>
      <c r="AJ50" s="1" t="s">
        <v>286</v>
      </c>
      <c r="AK50" s="1" t="s">
        <v>181</v>
      </c>
      <c r="AL50" s="1" t="s">
        <v>85</v>
      </c>
      <c r="AM50" s="1" t="s">
        <v>85</v>
      </c>
      <c r="AN50" s="1" t="s">
        <v>108</v>
      </c>
      <c r="AO50" s="1" t="s">
        <v>131</v>
      </c>
    </row>
    <row r="51" spans="1:41" x14ac:dyDescent="0.25">
      <c r="A51" s="1" t="s">
        <v>262</v>
      </c>
      <c r="B51" s="1" t="s">
        <v>262</v>
      </c>
      <c r="C51" s="1" t="s">
        <v>508</v>
      </c>
      <c r="D51" s="1" t="s">
        <v>57</v>
      </c>
      <c r="E51" s="1" t="s">
        <v>144</v>
      </c>
      <c r="F51" s="1" t="s">
        <v>52</v>
      </c>
      <c r="G51" s="5" t="s">
        <v>53</v>
      </c>
      <c r="H51" s="1" t="s">
        <v>172</v>
      </c>
      <c r="I51" s="1" t="s">
        <v>235</v>
      </c>
      <c r="J51" s="1" t="s">
        <v>430</v>
      </c>
      <c r="K51" s="1" t="s">
        <v>509</v>
      </c>
      <c r="L51" s="1" t="s">
        <v>119</v>
      </c>
      <c r="M51" s="1" t="s">
        <v>215</v>
      </c>
      <c r="N51" s="1" t="s">
        <v>444</v>
      </c>
      <c r="O51" s="1" t="s">
        <v>189</v>
      </c>
      <c r="P51" s="1" t="s">
        <v>220</v>
      </c>
      <c r="Q51" s="1" t="s">
        <v>484</v>
      </c>
      <c r="R51" s="1" t="s">
        <v>138</v>
      </c>
      <c r="S51" s="1" t="s">
        <v>269</v>
      </c>
      <c r="T51" s="1" t="s">
        <v>156</v>
      </c>
      <c r="U51" s="1" t="s">
        <v>49</v>
      </c>
      <c r="V51" s="1" t="s">
        <v>70</v>
      </c>
      <c r="W51" s="1" t="s">
        <v>103</v>
      </c>
      <c r="X51" s="1" t="s">
        <v>190</v>
      </c>
      <c r="Y51" s="1"/>
      <c r="Z51" s="1" t="s">
        <v>215</v>
      </c>
      <c r="AA51" s="1" t="s">
        <v>510</v>
      </c>
      <c r="AB51" s="1" t="s">
        <v>194</v>
      </c>
      <c r="AC51" s="1" t="s">
        <v>108</v>
      </c>
      <c r="AD51" s="1" t="s">
        <v>208</v>
      </c>
      <c r="AE51" s="1" t="s">
        <v>511</v>
      </c>
      <c r="AF51" s="1" t="s">
        <v>220</v>
      </c>
      <c r="AG51" s="1" t="s">
        <v>264</v>
      </c>
      <c r="AH51" s="1" t="s">
        <v>512</v>
      </c>
      <c r="AI51" s="1" t="s">
        <v>92</v>
      </c>
      <c r="AJ51" s="1" t="s">
        <v>230</v>
      </c>
      <c r="AK51" s="1" t="s">
        <v>156</v>
      </c>
      <c r="AL51" s="1" t="s">
        <v>85</v>
      </c>
      <c r="AM51" s="1" t="s">
        <v>70</v>
      </c>
      <c r="AN51" s="1" t="s">
        <v>98</v>
      </c>
      <c r="AO51" s="1" t="s">
        <v>204</v>
      </c>
    </row>
    <row r="52" spans="1:41" x14ac:dyDescent="0.25">
      <c r="A52" s="1" t="s">
        <v>264</v>
      </c>
      <c r="B52" s="1" t="s">
        <v>264</v>
      </c>
      <c r="C52" s="1" t="s">
        <v>513</v>
      </c>
      <c r="D52" s="1"/>
      <c r="E52" s="1" t="s">
        <v>162</v>
      </c>
      <c r="F52" s="1" t="s">
        <v>52</v>
      </c>
      <c r="G52" s="5" t="s">
        <v>88</v>
      </c>
      <c r="H52" s="1" t="s">
        <v>54</v>
      </c>
      <c r="I52" s="1" t="s">
        <v>244</v>
      </c>
      <c r="J52" s="1" t="s">
        <v>411</v>
      </c>
      <c r="K52" s="1" t="s">
        <v>107</v>
      </c>
      <c r="L52" s="1" t="s">
        <v>103</v>
      </c>
      <c r="M52" s="1" t="s">
        <v>204</v>
      </c>
      <c r="N52" s="1" t="s">
        <v>77</v>
      </c>
      <c r="O52" s="1" t="s">
        <v>171</v>
      </c>
      <c r="P52" s="1" t="s">
        <v>184</v>
      </c>
      <c r="Q52" s="1" t="s">
        <v>428</v>
      </c>
      <c r="R52" s="1" t="s">
        <v>92</v>
      </c>
      <c r="S52" s="1" t="s">
        <v>270</v>
      </c>
      <c r="T52" s="1" t="s">
        <v>208</v>
      </c>
      <c r="U52" s="1" t="s">
        <v>103</v>
      </c>
      <c r="V52" s="1" t="s">
        <v>92</v>
      </c>
      <c r="W52" s="1" t="s">
        <v>124</v>
      </c>
      <c r="X52" s="1" t="s">
        <v>150</v>
      </c>
      <c r="Y52" s="1"/>
      <c r="Z52" s="1" t="s">
        <v>244</v>
      </c>
      <c r="AA52" s="1" t="s">
        <v>105</v>
      </c>
      <c r="AB52" s="1" t="s">
        <v>282</v>
      </c>
      <c r="AC52" s="1" t="s">
        <v>124</v>
      </c>
      <c r="AD52" s="1" t="s">
        <v>256</v>
      </c>
      <c r="AE52" s="1" t="s">
        <v>480</v>
      </c>
      <c r="AF52" s="1" t="s">
        <v>119</v>
      </c>
      <c r="AG52" s="1" t="s">
        <v>142</v>
      </c>
      <c r="AH52" s="1" t="s">
        <v>484</v>
      </c>
      <c r="AI52" s="1" t="s">
        <v>142</v>
      </c>
      <c r="AJ52" s="1" t="s">
        <v>272</v>
      </c>
      <c r="AK52" s="1" t="s">
        <v>175</v>
      </c>
      <c r="AL52" s="1" t="s">
        <v>103</v>
      </c>
      <c r="AM52" s="1" t="s">
        <v>103</v>
      </c>
      <c r="AN52" s="1" t="s">
        <v>131</v>
      </c>
      <c r="AO52" s="1" t="s">
        <v>184</v>
      </c>
    </row>
    <row r="53" spans="1:41" x14ac:dyDescent="0.25">
      <c r="A53" s="1" t="s">
        <v>267</v>
      </c>
      <c r="B53" s="1" t="s">
        <v>267</v>
      </c>
      <c r="C53" s="1" t="s">
        <v>514</v>
      </c>
      <c r="D53" s="1"/>
      <c r="E53" s="1" t="s">
        <v>201</v>
      </c>
      <c r="F53" s="1" t="s">
        <v>52</v>
      </c>
      <c r="G53" s="5" t="s">
        <v>193</v>
      </c>
      <c r="H53" s="1" t="s">
        <v>121</v>
      </c>
      <c r="I53" s="1" t="s">
        <v>256</v>
      </c>
      <c r="J53" s="1" t="s">
        <v>301</v>
      </c>
      <c r="K53" s="1" t="s">
        <v>214</v>
      </c>
      <c r="L53" s="1" t="s">
        <v>119</v>
      </c>
      <c r="M53" s="1" t="s">
        <v>230</v>
      </c>
      <c r="N53" s="1" t="s">
        <v>147</v>
      </c>
      <c r="O53" s="1" t="s">
        <v>156</v>
      </c>
      <c r="P53" s="1" t="s">
        <v>156</v>
      </c>
      <c r="Q53" s="1" t="s">
        <v>470</v>
      </c>
      <c r="R53" s="1" t="s">
        <v>112</v>
      </c>
      <c r="S53" s="1" t="s">
        <v>260</v>
      </c>
      <c r="T53" s="1" t="s">
        <v>184</v>
      </c>
      <c r="U53" s="1" t="s">
        <v>85</v>
      </c>
      <c r="V53" s="1" t="s">
        <v>49</v>
      </c>
      <c r="W53" s="1" t="s">
        <v>108</v>
      </c>
      <c r="X53" s="1" t="s">
        <v>165</v>
      </c>
      <c r="Y53" s="1"/>
      <c r="Z53" s="1" t="s">
        <v>240</v>
      </c>
      <c r="AA53" s="1" t="s">
        <v>427</v>
      </c>
      <c r="AB53" s="1" t="s">
        <v>219</v>
      </c>
      <c r="AC53" s="1" t="s">
        <v>119</v>
      </c>
      <c r="AD53" s="1" t="s">
        <v>244</v>
      </c>
      <c r="AE53" s="1" t="s">
        <v>213</v>
      </c>
      <c r="AF53" s="1" t="s">
        <v>142</v>
      </c>
      <c r="AG53" s="1" t="s">
        <v>181</v>
      </c>
      <c r="AH53" s="1" t="s">
        <v>485</v>
      </c>
      <c r="AI53" s="1" t="s">
        <v>85</v>
      </c>
      <c r="AJ53" s="1" t="s">
        <v>208</v>
      </c>
      <c r="AK53" s="1" t="s">
        <v>171</v>
      </c>
      <c r="AL53" s="1" t="s">
        <v>78</v>
      </c>
      <c r="AM53" s="1" t="s">
        <v>94</v>
      </c>
      <c r="AN53" s="1" t="s">
        <v>119</v>
      </c>
      <c r="AO53" s="1" t="s">
        <v>165</v>
      </c>
    </row>
    <row r="54" spans="1:41" x14ac:dyDescent="0.25">
      <c r="A54" s="1" t="s">
        <v>269</v>
      </c>
      <c r="B54" s="1" t="s">
        <v>269</v>
      </c>
      <c r="C54" s="1" t="s">
        <v>268</v>
      </c>
      <c r="D54" s="1"/>
      <c r="E54" s="1" t="s">
        <v>86</v>
      </c>
      <c r="F54" s="1" t="s">
        <v>52</v>
      </c>
      <c r="G54" s="5" t="s">
        <v>172</v>
      </c>
      <c r="H54" s="1" t="s">
        <v>60</v>
      </c>
      <c r="I54" s="1" t="s">
        <v>256</v>
      </c>
      <c r="J54" s="1" t="s">
        <v>423</v>
      </c>
      <c r="K54" s="1" t="s">
        <v>91</v>
      </c>
      <c r="L54" s="1" t="s">
        <v>160</v>
      </c>
      <c r="M54" s="1" t="s">
        <v>260</v>
      </c>
      <c r="N54" s="1" t="s">
        <v>476</v>
      </c>
      <c r="O54" s="1" t="s">
        <v>49</v>
      </c>
      <c r="P54" s="1" t="s">
        <v>70</v>
      </c>
      <c r="Q54" s="1" t="s">
        <v>398</v>
      </c>
      <c r="R54" s="1" t="s">
        <v>119</v>
      </c>
      <c r="S54" s="1" t="s">
        <v>286</v>
      </c>
      <c r="T54" s="1" t="s">
        <v>220</v>
      </c>
      <c r="U54" s="1" t="s">
        <v>94</v>
      </c>
      <c r="V54" s="1" t="s">
        <v>78</v>
      </c>
      <c r="W54" s="1" t="s">
        <v>131</v>
      </c>
      <c r="X54" s="1" t="s">
        <v>150</v>
      </c>
      <c r="Y54" s="1"/>
      <c r="Z54" s="1" t="s">
        <v>204</v>
      </c>
      <c r="AA54" s="1" t="s">
        <v>387</v>
      </c>
      <c r="AB54" s="1" t="s">
        <v>515</v>
      </c>
      <c r="AC54" s="1" t="s">
        <v>119</v>
      </c>
      <c r="AD54" s="1" t="s">
        <v>239</v>
      </c>
      <c r="AE54" s="1" t="s">
        <v>516</v>
      </c>
      <c r="AF54" s="1" t="s">
        <v>138</v>
      </c>
      <c r="AG54" s="1" t="s">
        <v>156</v>
      </c>
      <c r="AH54" s="1" t="s">
        <v>517</v>
      </c>
      <c r="AI54" s="1" t="s">
        <v>108</v>
      </c>
      <c r="AJ54" s="1" t="s">
        <v>254</v>
      </c>
      <c r="AK54" s="1" t="s">
        <v>171</v>
      </c>
      <c r="AL54" s="1" t="s">
        <v>108</v>
      </c>
      <c r="AM54" s="1" t="s">
        <v>78</v>
      </c>
      <c r="AN54" s="1" t="s">
        <v>108</v>
      </c>
      <c r="AO54" s="1" t="s">
        <v>98</v>
      </c>
    </row>
    <row r="55" spans="1:41" x14ac:dyDescent="0.25">
      <c r="A55" s="1" t="s">
        <v>270</v>
      </c>
      <c r="B55" s="1" t="s">
        <v>270</v>
      </c>
      <c r="C55" s="1" t="s">
        <v>271</v>
      </c>
      <c r="D55" s="1" t="s">
        <v>57</v>
      </c>
      <c r="E55" s="1" t="s">
        <v>205</v>
      </c>
      <c r="F55" s="1" t="s">
        <v>65</v>
      </c>
      <c r="G55" s="5" t="s">
        <v>54</v>
      </c>
      <c r="H55" s="1" t="s">
        <v>106</v>
      </c>
      <c r="I55" s="1" t="s">
        <v>260</v>
      </c>
      <c r="J55" s="1" t="s">
        <v>73</v>
      </c>
      <c r="K55" s="1" t="s">
        <v>91</v>
      </c>
      <c r="L55" s="1" t="s">
        <v>108</v>
      </c>
      <c r="M55" s="1" t="s">
        <v>195</v>
      </c>
      <c r="N55" s="1" t="s">
        <v>74</v>
      </c>
      <c r="O55" s="1" t="s">
        <v>85</v>
      </c>
      <c r="P55" s="1" t="s">
        <v>92</v>
      </c>
      <c r="Q55" s="1" t="s">
        <v>389</v>
      </c>
      <c r="R55" s="1" t="s">
        <v>70</v>
      </c>
      <c r="S55" s="1" t="s">
        <v>226</v>
      </c>
      <c r="T55" s="1" t="s">
        <v>195</v>
      </c>
      <c r="U55" s="1" t="s">
        <v>49</v>
      </c>
      <c r="V55" s="1" t="s">
        <v>49</v>
      </c>
      <c r="W55" s="1" t="s">
        <v>78</v>
      </c>
      <c r="X55" s="1" t="s">
        <v>142</v>
      </c>
      <c r="Y55" s="1"/>
      <c r="Z55" s="1" t="s">
        <v>254</v>
      </c>
      <c r="AA55" s="1" t="s">
        <v>427</v>
      </c>
      <c r="AB55" s="1" t="s">
        <v>288</v>
      </c>
      <c r="AC55" s="1" t="s">
        <v>94</v>
      </c>
      <c r="AD55" s="1" t="s">
        <v>171</v>
      </c>
      <c r="AE55" s="1" t="s">
        <v>394</v>
      </c>
      <c r="AF55" s="1" t="s">
        <v>165</v>
      </c>
      <c r="AG55" s="1" t="s">
        <v>204</v>
      </c>
      <c r="AH55" s="1" t="s">
        <v>499</v>
      </c>
      <c r="AI55" s="1" t="s">
        <v>85</v>
      </c>
      <c r="AJ55" s="1" t="s">
        <v>244</v>
      </c>
      <c r="AK55" s="1" t="s">
        <v>200</v>
      </c>
      <c r="AL55" s="1" t="s">
        <v>70</v>
      </c>
      <c r="AM55" s="1" t="s">
        <v>49</v>
      </c>
      <c r="AN55" s="1" t="s">
        <v>98</v>
      </c>
      <c r="AO55" s="1" t="s">
        <v>108</v>
      </c>
    </row>
    <row r="56" spans="1:41" x14ac:dyDescent="0.25">
      <c r="A56" s="1" t="s">
        <v>272</v>
      </c>
      <c r="B56" s="1" t="s">
        <v>272</v>
      </c>
      <c r="C56" s="1" t="s">
        <v>518</v>
      </c>
      <c r="D56" s="1"/>
      <c r="E56" s="1" t="s">
        <v>58</v>
      </c>
      <c r="F56" s="1" t="s">
        <v>52</v>
      </c>
      <c r="G56" s="5" t="s">
        <v>145</v>
      </c>
      <c r="H56" s="1" t="s">
        <v>88</v>
      </c>
      <c r="I56" s="1" t="s">
        <v>251</v>
      </c>
      <c r="J56" s="1" t="s">
        <v>81</v>
      </c>
      <c r="K56" s="1" t="s">
        <v>155</v>
      </c>
      <c r="L56" s="1" t="s">
        <v>103</v>
      </c>
      <c r="M56" s="1" t="s">
        <v>211</v>
      </c>
      <c r="N56" s="1" t="s">
        <v>293</v>
      </c>
      <c r="O56" s="1" t="s">
        <v>160</v>
      </c>
      <c r="P56" s="1" t="s">
        <v>189</v>
      </c>
      <c r="Q56" s="1" t="s">
        <v>519</v>
      </c>
      <c r="R56" s="1" t="s">
        <v>108</v>
      </c>
      <c r="S56" s="1" t="s">
        <v>260</v>
      </c>
      <c r="T56" s="1" t="s">
        <v>190</v>
      </c>
      <c r="U56" s="1" t="s">
        <v>85</v>
      </c>
      <c r="V56" s="1" t="s">
        <v>85</v>
      </c>
      <c r="W56" s="1" t="s">
        <v>103</v>
      </c>
      <c r="X56" s="1" t="s">
        <v>124</v>
      </c>
      <c r="Y56" s="1"/>
      <c r="Z56" s="1" t="s">
        <v>244</v>
      </c>
      <c r="AA56" s="1" t="s">
        <v>387</v>
      </c>
      <c r="AB56" s="1" t="s">
        <v>448</v>
      </c>
      <c r="AC56" s="1" t="s">
        <v>124</v>
      </c>
      <c r="AD56" s="1" t="s">
        <v>200</v>
      </c>
      <c r="AE56" s="1" t="s">
        <v>323</v>
      </c>
      <c r="AF56" s="1" t="s">
        <v>150</v>
      </c>
      <c r="AG56" s="1" t="s">
        <v>171</v>
      </c>
      <c r="AH56" s="1" t="s">
        <v>452</v>
      </c>
      <c r="AI56" s="1" t="s">
        <v>78</v>
      </c>
      <c r="AJ56" s="1" t="s">
        <v>247</v>
      </c>
      <c r="AK56" s="1" t="s">
        <v>181</v>
      </c>
      <c r="AL56" s="1" t="s">
        <v>92</v>
      </c>
      <c r="AM56" s="1" t="s">
        <v>70</v>
      </c>
      <c r="AN56" s="1" t="s">
        <v>112</v>
      </c>
      <c r="AO56" s="1" t="s">
        <v>184</v>
      </c>
    </row>
    <row r="57" spans="1:41" x14ac:dyDescent="0.25">
      <c r="A57" s="1" t="s">
        <v>273</v>
      </c>
      <c r="B57" s="1" t="s">
        <v>273</v>
      </c>
      <c r="C57" s="1" t="s">
        <v>520</v>
      </c>
      <c r="D57" s="1"/>
      <c r="E57" s="1" t="s">
        <v>274</v>
      </c>
      <c r="F57" s="1" t="s">
        <v>52</v>
      </c>
      <c r="G57" s="5" t="s">
        <v>521</v>
      </c>
      <c r="H57" s="1" t="s">
        <v>172</v>
      </c>
      <c r="I57" s="1" t="s">
        <v>272</v>
      </c>
      <c r="J57" s="1" t="s">
        <v>81</v>
      </c>
      <c r="K57" s="1" t="s">
        <v>223</v>
      </c>
      <c r="L57" s="1" t="s">
        <v>156</v>
      </c>
      <c r="M57" s="1" t="s">
        <v>247</v>
      </c>
      <c r="N57" s="1" t="s">
        <v>383</v>
      </c>
      <c r="O57" s="1" t="s">
        <v>150</v>
      </c>
      <c r="P57" s="1" t="s">
        <v>171</v>
      </c>
      <c r="Q57" s="1" t="s">
        <v>452</v>
      </c>
      <c r="R57" s="1" t="s">
        <v>103</v>
      </c>
      <c r="S57" s="1" t="s">
        <v>260</v>
      </c>
      <c r="T57" s="1" t="s">
        <v>235</v>
      </c>
      <c r="U57" s="1" t="s">
        <v>103</v>
      </c>
      <c r="V57" s="1" t="s">
        <v>94</v>
      </c>
      <c r="W57" s="1" t="s">
        <v>142</v>
      </c>
      <c r="X57" s="1" t="s">
        <v>208</v>
      </c>
      <c r="Y57" s="1"/>
      <c r="Z57" s="1" t="s">
        <v>239</v>
      </c>
      <c r="AA57" s="1" t="s">
        <v>60</v>
      </c>
      <c r="AB57" s="1" t="s">
        <v>266</v>
      </c>
      <c r="AC57" s="1" t="s">
        <v>85</v>
      </c>
      <c r="AD57" s="1" t="s">
        <v>190</v>
      </c>
      <c r="AE57" s="1" t="s">
        <v>488</v>
      </c>
      <c r="AF57" s="1" t="s">
        <v>200</v>
      </c>
      <c r="AG57" s="1" t="s">
        <v>240</v>
      </c>
      <c r="AH57" s="1" t="s">
        <v>522</v>
      </c>
      <c r="AI57" s="1" t="s">
        <v>142</v>
      </c>
      <c r="AJ57" s="1" t="s">
        <v>244</v>
      </c>
      <c r="AK57" s="1" t="s">
        <v>175</v>
      </c>
      <c r="AL57" s="1" t="s">
        <v>98</v>
      </c>
      <c r="AM57" s="1" t="s">
        <v>48</v>
      </c>
      <c r="AN57" s="1" t="s">
        <v>124</v>
      </c>
      <c r="AO57" s="1" t="s">
        <v>124</v>
      </c>
    </row>
    <row r="58" spans="1:41" x14ac:dyDescent="0.25">
      <c r="A58" s="1" t="s">
        <v>275</v>
      </c>
      <c r="B58" s="1" t="s">
        <v>275</v>
      </c>
      <c r="C58" s="1" t="s">
        <v>276</v>
      </c>
      <c r="D58" s="1"/>
      <c r="E58" s="1" t="s">
        <v>158</v>
      </c>
      <c r="F58" s="1" t="s">
        <v>65</v>
      </c>
      <c r="G58" s="5" t="s">
        <v>93</v>
      </c>
      <c r="H58" s="1" t="s">
        <v>307</v>
      </c>
      <c r="I58" s="1" t="s">
        <v>226</v>
      </c>
      <c r="J58" s="1" t="s">
        <v>459</v>
      </c>
      <c r="K58" s="1" t="s">
        <v>392</v>
      </c>
      <c r="L58" s="1" t="s">
        <v>78</v>
      </c>
      <c r="M58" s="1" t="s">
        <v>190</v>
      </c>
      <c r="N58" s="1" t="s">
        <v>523</v>
      </c>
      <c r="O58" s="1" t="s">
        <v>189</v>
      </c>
      <c r="P58" s="1" t="s">
        <v>204</v>
      </c>
      <c r="Q58" s="1" t="s">
        <v>479</v>
      </c>
      <c r="R58" s="1" t="s">
        <v>98</v>
      </c>
      <c r="S58" s="1" t="s">
        <v>251</v>
      </c>
      <c r="T58" s="1" t="s">
        <v>156</v>
      </c>
      <c r="U58" s="1" t="s">
        <v>85</v>
      </c>
      <c r="V58" s="1" t="s">
        <v>103</v>
      </c>
      <c r="W58" s="1" t="s">
        <v>156</v>
      </c>
      <c r="X58" s="1" t="s">
        <v>160</v>
      </c>
      <c r="Y58" s="1"/>
      <c r="Z58" s="1" t="s">
        <v>264</v>
      </c>
      <c r="AA58" s="1" t="s">
        <v>73</v>
      </c>
      <c r="AB58" s="1" t="s">
        <v>188</v>
      </c>
      <c r="AC58" s="1" t="s">
        <v>156</v>
      </c>
      <c r="AD58" s="1" t="s">
        <v>220</v>
      </c>
      <c r="AE58" s="1" t="s">
        <v>232</v>
      </c>
      <c r="AF58" s="1" t="s">
        <v>119</v>
      </c>
      <c r="AG58" s="1" t="s">
        <v>160</v>
      </c>
      <c r="AH58" s="1" t="s">
        <v>524</v>
      </c>
      <c r="AI58" s="1" t="s">
        <v>112</v>
      </c>
      <c r="AJ58" s="1" t="s">
        <v>264</v>
      </c>
      <c r="AK58" s="1" t="s">
        <v>204</v>
      </c>
      <c r="AL58" s="1" t="s">
        <v>112</v>
      </c>
      <c r="AM58" s="1" t="s">
        <v>70</v>
      </c>
      <c r="AN58" s="1" t="s">
        <v>124</v>
      </c>
      <c r="AO58" s="1" t="s">
        <v>181</v>
      </c>
    </row>
    <row r="59" spans="1:41" x14ac:dyDescent="0.25">
      <c r="A59" s="1" t="s">
        <v>280</v>
      </c>
      <c r="B59" s="1" t="s">
        <v>280</v>
      </c>
      <c r="C59" s="1" t="s">
        <v>525</v>
      </c>
      <c r="D59" s="1" t="s">
        <v>57</v>
      </c>
      <c r="E59" s="1" t="s">
        <v>162</v>
      </c>
      <c r="F59" s="1" t="s">
        <v>52</v>
      </c>
      <c r="G59" s="5" t="s">
        <v>87</v>
      </c>
      <c r="H59" s="1" t="s">
        <v>218</v>
      </c>
      <c r="I59" s="1" t="s">
        <v>262</v>
      </c>
      <c r="J59" s="1" t="s">
        <v>423</v>
      </c>
      <c r="K59" s="1" t="s">
        <v>188</v>
      </c>
      <c r="L59" s="1" t="s">
        <v>131</v>
      </c>
      <c r="M59" s="1" t="s">
        <v>230</v>
      </c>
      <c r="N59" s="1" t="s">
        <v>457</v>
      </c>
      <c r="O59" s="1" t="s">
        <v>160</v>
      </c>
      <c r="P59" s="1" t="s">
        <v>181</v>
      </c>
      <c r="Q59" s="1" t="s">
        <v>412</v>
      </c>
      <c r="R59" s="1" t="s">
        <v>108</v>
      </c>
      <c r="S59" s="1" t="s">
        <v>290</v>
      </c>
      <c r="T59" s="1" t="s">
        <v>208</v>
      </c>
      <c r="U59" s="1" t="s">
        <v>94</v>
      </c>
      <c r="V59" s="1" t="s">
        <v>70</v>
      </c>
      <c r="W59" s="1" t="s">
        <v>150</v>
      </c>
      <c r="X59" s="1" t="s">
        <v>171</v>
      </c>
      <c r="Y59" s="1"/>
      <c r="Z59" s="1" t="s">
        <v>204</v>
      </c>
      <c r="AA59" s="1" t="s">
        <v>404</v>
      </c>
      <c r="AB59" s="1" t="s">
        <v>55</v>
      </c>
      <c r="AC59" s="1" t="s">
        <v>119</v>
      </c>
      <c r="AD59" s="1" t="s">
        <v>269</v>
      </c>
      <c r="AE59" s="1" t="s">
        <v>289</v>
      </c>
      <c r="AF59" s="1" t="s">
        <v>181</v>
      </c>
      <c r="AG59" s="1" t="s">
        <v>215</v>
      </c>
      <c r="AH59" s="1" t="s">
        <v>489</v>
      </c>
      <c r="AI59" s="1" t="s">
        <v>108</v>
      </c>
      <c r="AJ59" s="1" t="s">
        <v>256</v>
      </c>
      <c r="AK59" s="1" t="s">
        <v>138</v>
      </c>
      <c r="AL59" s="1" t="s">
        <v>119</v>
      </c>
      <c r="AM59" s="1" t="s">
        <v>112</v>
      </c>
      <c r="AN59" s="1" t="s">
        <v>124</v>
      </c>
      <c r="AO59" s="1" t="s">
        <v>160</v>
      </c>
    </row>
    <row r="60" spans="1:41" x14ac:dyDescent="0.25">
      <c r="A60" s="1" t="s">
        <v>284</v>
      </c>
      <c r="B60" s="1" t="s">
        <v>284</v>
      </c>
      <c r="C60" s="1" t="s">
        <v>285</v>
      </c>
      <c r="D60" s="1" t="s">
        <v>57</v>
      </c>
      <c r="E60" s="1" t="s">
        <v>401</v>
      </c>
      <c r="F60" s="1" t="s">
        <v>65</v>
      </c>
      <c r="G60" s="5" t="s">
        <v>134</v>
      </c>
      <c r="H60" s="1" t="s">
        <v>198</v>
      </c>
      <c r="I60" s="1" t="s">
        <v>254</v>
      </c>
      <c r="J60" s="1" t="s">
        <v>303</v>
      </c>
      <c r="K60" s="1" t="s">
        <v>224</v>
      </c>
      <c r="L60" s="1" t="s">
        <v>70</v>
      </c>
      <c r="M60" s="1" t="s">
        <v>165</v>
      </c>
      <c r="N60" s="1" t="s">
        <v>526</v>
      </c>
      <c r="O60" s="1" t="s">
        <v>190</v>
      </c>
      <c r="P60" s="1" t="s">
        <v>204</v>
      </c>
      <c r="Q60" s="1" t="s">
        <v>405</v>
      </c>
      <c r="R60" s="1" t="s">
        <v>108</v>
      </c>
      <c r="S60" s="1" t="s">
        <v>254</v>
      </c>
      <c r="T60" s="1" t="s">
        <v>175</v>
      </c>
      <c r="U60" s="1" t="s">
        <v>85</v>
      </c>
      <c r="V60" s="1" t="s">
        <v>49</v>
      </c>
      <c r="W60" s="1" t="s">
        <v>131</v>
      </c>
      <c r="X60" s="1" t="s">
        <v>165</v>
      </c>
      <c r="Y60" s="1"/>
      <c r="Z60" s="1" t="s">
        <v>260</v>
      </c>
      <c r="AA60" s="1" t="s">
        <v>404</v>
      </c>
      <c r="AB60" s="1" t="s">
        <v>56</v>
      </c>
      <c r="AC60" s="1" t="s">
        <v>119</v>
      </c>
      <c r="AD60" s="1" t="s">
        <v>195</v>
      </c>
      <c r="AE60" s="1" t="s">
        <v>225</v>
      </c>
      <c r="AF60" s="1" t="s">
        <v>160</v>
      </c>
      <c r="AG60" s="1" t="s">
        <v>184</v>
      </c>
      <c r="AH60" s="1" t="s">
        <v>464</v>
      </c>
      <c r="AI60" s="1" t="s">
        <v>70</v>
      </c>
      <c r="AJ60" s="1" t="s">
        <v>211</v>
      </c>
      <c r="AK60" s="1" t="s">
        <v>175</v>
      </c>
      <c r="AL60" s="1" t="s">
        <v>94</v>
      </c>
      <c r="AM60" s="1" t="s">
        <v>98</v>
      </c>
      <c r="AN60" s="1" t="s">
        <v>103</v>
      </c>
      <c r="AO60" s="1" t="s">
        <v>165</v>
      </c>
    </row>
    <row r="61" spans="1:41" x14ac:dyDescent="0.25">
      <c r="A61" s="1" t="s">
        <v>286</v>
      </c>
      <c r="B61" s="1" t="s">
        <v>286</v>
      </c>
      <c r="C61" s="1" t="s">
        <v>287</v>
      </c>
      <c r="D61" s="1"/>
      <c r="E61" s="1" t="s">
        <v>86</v>
      </c>
      <c r="F61" s="1" t="s">
        <v>52</v>
      </c>
      <c r="G61" s="5" t="s">
        <v>228</v>
      </c>
      <c r="H61" s="1" t="s">
        <v>106</v>
      </c>
      <c r="I61" s="1" t="s">
        <v>264</v>
      </c>
      <c r="J61" s="1" t="s">
        <v>411</v>
      </c>
      <c r="K61" s="1" t="s">
        <v>118</v>
      </c>
      <c r="L61" s="1" t="s">
        <v>165</v>
      </c>
      <c r="M61" s="1" t="s">
        <v>247</v>
      </c>
      <c r="N61" s="1" t="s">
        <v>148</v>
      </c>
      <c r="O61" s="1" t="s">
        <v>131</v>
      </c>
      <c r="P61" s="1" t="s">
        <v>138</v>
      </c>
      <c r="Q61" s="1" t="s">
        <v>527</v>
      </c>
      <c r="R61" s="1" t="s">
        <v>92</v>
      </c>
      <c r="S61" s="1" t="s">
        <v>235</v>
      </c>
      <c r="T61" s="1" t="s">
        <v>226</v>
      </c>
      <c r="U61" s="1" t="s">
        <v>112</v>
      </c>
      <c r="V61" s="1" t="s">
        <v>78</v>
      </c>
      <c r="W61" s="1" t="s">
        <v>150</v>
      </c>
      <c r="X61" s="1" t="s">
        <v>142</v>
      </c>
      <c r="Y61" s="1"/>
      <c r="Z61" s="1" t="s">
        <v>256</v>
      </c>
      <c r="AA61" s="1" t="s">
        <v>303</v>
      </c>
      <c r="AB61" s="1" t="s">
        <v>68</v>
      </c>
      <c r="AC61" s="1" t="s">
        <v>112</v>
      </c>
      <c r="AD61" s="1" t="s">
        <v>220</v>
      </c>
      <c r="AE61" s="1" t="s">
        <v>528</v>
      </c>
      <c r="AF61" s="1" t="s">
        <v>131</v>
      </c>
      <c r="AG61" s="1" t="s">
        <v>160</v>
      </c>
      <c r="AH61" s="1" t="s">
        <v>398</v>
      </c>
      <c r="AI61" s="1" t="s">
        <v>94</v>
      </c>
      <c r="AJ61" s="1" t="s">
        <v>235</v>
      </c>
      <c r="AK61" s="1" t="s">
        <v>189</v>
      </c>
      <c r="AL61" s="1" t="s">
        <v>112</v>
      </c>
      <c r="AM61" s="1" t="s">
        <v>49</v>
      </c>
      <c r="AN61" s="1" t="s">
        <v>156</v>
      </c>
      <c r="AO61" s="1" t="s">
        <v>150</v>
      </c>
    </row>
    <row r="62" spans="1:41" x14ac:dyDescent="0.25">
      <c r="A62" s="1" t="s">
        <v>290</v>
      </c>
      <c r="B62" s="1" t="s">
        <v>290</v>
      </c>
      <c r="C62" s="1" t="s">
        <v>529</v>
      </c>
      <c r="D62" s="1" t="s">
        <v>57</v>
      </c>
      <c r="E62" s="1" t="s">
        <v>114</v>
      </c>
      <c r="F62" s="1" t="s">
        <v>65</v>
      </c>
      <c r="G62" s="5" t="s">
        <v>54</v>
      </c>
      <c r="H62" s="1" t="s">
        <v>59</v>
      </c>
      <c r="I62" s="1" t="s">
        <v>240</v>
      </c>
      <c r="J62" s="1" t="s">
        <v>372</v>
      </c>
      <c r="K62" s="1" t="s">
        <v>283</v>
      </c>
      <c r="L62" s="1" t="s">
        <v>142</v>
      </c>
      <c r="M62" s="1" t="s">
        <v>254</v>
      </c>
      <c r="N62" s="1" t="s">
        <v>202</v>
      </c>
      <c r="O62" s="1" t="s">
        <v>112</v>
      </c>
      <c r="P62" s="1" t="s">
        <v>150</v>
      </c>
      <c r="Q62" s="1" t="s">
        <v>418</v>
      </c>
      <c r="R62" s="1" t="s">
        <v>94</v>
      </c>
      <c r="S62" s="1" t="s">
        <v>239</v>
      </c>
      <c r="T62" s="1" t="s">
        <v>189</v>
      </c>
      <c r="U62" s="1" t="s">
        <v>103</v>
      </c>
      <c r="V62" s="1" t="s">
        <v>85</v>
      </c>
      <c r="W62" s="1" t="s">
        <v>108</v>
      </c>
      <c r="X62" s="1" t="s">
        <v>142</v>
      </c>
      <c r="Y62" s="1"/>
      <c r="Z62" s="1" t="s">
        <v>239</v>
      </c>
      <c r="AA62" s="1" t="s">
        <v>404</v>
      </c>
      <c r="AB62" s="1" t="s">
        <v>163</v>
      </c>
      <c r="AC62" s="1" t="s">
        <v>138</v>
      </c>
      <c r="AD62" s="1" t="s">
        <v>240</v>
      </c>
      <c r="AE62" s="1" t="s">
        <v>377</v>
      </c>
      <c r="AF62" s="1" t="s">
        <v>142</v>
      </c>
      <c r="AG62" s="1" t="s">
        <v>165</v>
      </c>
      <c r="AH62" s="1" t="s">
        <v>530</v>
      </c>
      <c r="AI62" s="1" t="s">
        <v>138</v>
      </c>
      <c r="AJ62" s="1" t="s">
        <v>275</v>
      </c>
      <c r="AK62" s="1" t="s">
        <v>195</v>
      </c>
      <c r="AL62" s="1" t="s">
        <v>98</v>
      </c>
      <c r="AM62" s="1" t="s">
        <v>50</v>
      </c>
      <c r="AN62" s="1" t="s">
        <v>138</v>
      </c>
      <c r="AO62" s="1" t="s">
        <v>119</v>
      </c>
    </row>
    <row r="63" spans="1:41" x14ac:dyDescent="0.25">
      <c r="A63" s="1" t="s">
        <v>291</v>
      </c>
      <c r="B63" s="1" t="s">
        <v>291</v>
      </c>
      <c r="C63" s="1" t="s">
        <v>531</v>
      </c>
      <c r="D63" s="1" t="s">
        <v>57</v>
      </c>
      <c r="E63" s="1" t="s">
        <v>274</v>
      </c>
      <c r="F63" s="1" t="s">
        <v>52</v>
      </c>
      <c r="G63" s="5" t="s">
        <v>115</v>
      </c>
      <c r="H63" s="1" t="s">
        <v>252</v>
      </c>
      <c r="I63" s="1" t="s">
        <v>269</v>
      </c>
      <c r="J63" s="1" t="s">
        <v>60</v>
      </c>
      <c r="K63" s="1" t="s">
        <v>288</v>
      </c>
      <c r="L63" s="1" t="s">
        <v>124</v>
      </c>
      <c r="M63" s="1" t="s">
        <v>235</v>
      </c>
      <c r="N63" s="1" t="s">
        <v>298</v>
      </c>
      <c r="O63" s="1" t="s">
        <v>171</v>
      </c>
      <c r="P63" s="1" t="s">
        <v>195</v>
      </c>
      <c r="Q63" s="1" t="s">
        <v>477</v>
      </c>
      <c r="R63" s="1" t="s">
        <v>103</v>
      </c>
      <c r="S63" s="1" t="s">
        <v>256</v>
      </c>
      <c r="T63" s="1" t="s">
        <v>204</v>
      </c>
      <c r="U63" s="1" t="s">
        <v>92</v>
      </c>
      <c r="V63" s="1" t="s">
        <v>48</v>
      </c>
      <c r="W63" s="1" t="s">
        <v>119</v>
      </c>
      <c r="X63" s="1" t="s">
        <v>165</v>
      </c>
      <c r="Y63" s="1"/>
      <c r="Z63" s="1" t="s">
        <v>272</v>
      </c>
      <c r="AA63" s="1" t="s">
        <v>423</v>
      </c>
      <c r="AB63" s="1" t="s">
        <v>308</v>
      </c>
      <c r="AC63" s="1" t="s">
        <v>112</v>
      </c>
      <c r="AD63" s="1" t="s">
        <v>215</v>
      </c>
      <c r="AE63" s="1" t="s">
        <v>394</v>
      </c>
      <c r="AF63" s="1" t="s">
        <v>131</v>
      </c>
      <c r="AG63" s="1" t="s">
        <v>181</v>
      </c>
      <c r="AH63" s="1" t="s">
        <v>421</v>
      </c>
      <c r="AI63" s="1" t="s">
        <v>92</v>
      </c>
      <c r="AJ63" s="1" t="s">
        <v>235</v>
      </c>
      <c r="AK63" s="1" t="s">
        <v>195</v>
      </c>
      <c r="AL63" s="1" t="s">
        <v>78</v>
      </c>
      <c r="AM63" s="1" t="s">
        <v>48</v>
      </c>
      <c r="AN63" s="1" t="s">
        <v>119</v>
      </c>
      <c r="AO63" s="1" t="s">
        <v>165</v>
      </c>
    </row>
    <row r="64" spans="1:41" x14ac:dyDescent="0.25">
      <c r="A64" s="1" t="s">
        <v>294</v>
      </c>
      <c r="B64" s="1" t="s">
        <v>294</v>
      </c>
      <c r="C64" s="1" t="s">
        <v>292</v>
      </c>
      <c r="D64" s="1" t="s">
        <v>57</v>
      </c>
      <c r="E64" s="1" t="s">
        <v>71</v>
      </c>
      <c r="F64" s="1" t="s">
        <v>65</v>
      </c>
      <c r="G64" s="5" t="s">
        <v>105</v>
      </c>
      <c r="H64" s="1" t="s">
        <v>145</v>
      </c>
      <c r="I64" s="1" t="s">
        <v>230</v>
      </c>
      <c r="J64" s="1" t="s">
        <v>423</v>
      </c>
      <c r="K64" s="1" t="s">
        <v>532</v>
      </c>
      <c r="L64" s="1" t="s">
        <v>119</v>
      </c>
      <c r="M64" s="1" t="s">
        <v>247</v>
      </c>
      <c r="N64" s="1" t="s">
        <v>533</v>
      </c>
      <c r="O64" s="1" t="s">
        <v>150</v>
      </c>
      <c r="P64" s="1" t="s">
        <v>175</v>
      </c>
      <c r="Q64" s="1" t="s">
        <v>384</v>
      </c>
      <c r="R64" s="1" t="s">
        <v>112</v>
      </c>
      <c r="S64" s="1" t="s">
        <v>270</v>
      </c>
      <c r="T64" s="1" t="s">
        <v>156</v>
      </c>
      <c r="U64" s="1" t="s">
        <v>49</v>
      </c>
      <c r="V64" s="1" t="s">
        <v>85</v>
      </c>
      <c r="W64" s="1" t="s">
        <v>119</v>
      </c>
      <c r="X64" s="1" t="s">
        <v>142</v>
      </c>
      <c r="Y64" s="1"/>
      <c r="Z64" s="1" t="s">
        <v>240</v>
      </c>
      <c r="AA64" s="1" t="s">
        <v>301</v>
      </c>
      <c r="AB64" s="1" t="s">
        <v>534</v>
      </c>
      <c r="AC64" s="1" t="s">
        <v>150</v>
      </c>
      <c r="AD64" s="1" t="s">
        <v>264</v>
      </c>
      <c r="AE64" s="1" t="s">
        <v>535</v>
      </c>
      <c r="AF64" s="1" t="s">
        <v>150</v>
      </c>
      <c r="AG64" s="1" t="s">
        <v>165</v>
      </c>
      <c r="AH64" s="1" t="s">
        <v>389</v>
      </c>
      <c r="AI64" s="1" t="s">
        <v>98</v>
      </c>
      <c r="AJ64" s="1" t="s">
        <v>267</v>
      </c>
      <c r="AK64" s="1" t="s">
        <v>175</v>
      </c>
      <c r="AL64" s="1" t="s">
        <v>92</v>
      </c>
      <c r="AM64" s="1" t="s">
        <v>94</v>
      </c>
      <c r="AN64" s="1" t="s">
        <v>103</v>
      </c>
      <c r="AO64" s="1" t="s">
        <v>160</v>
      </c>
    </row>
    <row r="65" spans="1:41" x14ac:dyDescent="0.25">
      <c r="A65" s="1" t="s">
        <v>295</v>
      </c>
      <c r="B65" s="1" t="s">
        <v>295</v>
      </c>
      <c r="C65" s="1" t="s">
        <v>536</v>
      </c>
      <c r="D65" s="1"/>
      <c r="E65" s="1" t="s">
        <v>133</v>
      </c>
      <c r="F65" s="1" t="s">
        <v>52</v>
      </c>
      <c r="G65" s="5" t="s">
        <v>59</v>
      </c>
      <c r="H65" s="1" t="s">
        <v>127</v>
      </c>
      <c r="I65" s="1" t="s">
        <v>235</v>
      </c>
      <c r="J65" s="1" t="s">
        <v>387</v>
      </c>
      <c r="K65" s="1" t="s">
        <v>537</v>
      </c>
      <c r="L65" s="1" t="s">
        <v>108</v>
      </c>
      <c r="M65" s="1" t="s">
        <v>211</v>
      </c>
      <c r="N65" s="1" t="s">
        <v>441</v>
      </c>
      <c r="O65" s="1" t="s">
        <v>181</v>
      </c>
      <c r="P65" s="1" t="s">
        <v>195</v>
      </c>
      <c r="Q65" s="1" t="s">
        <v>389</v>
      </c>
      <c r="R65" s="1" t="s">
        <v>85</v>
      </c>
      <c r="S65" s="1" t="s">
        <v>264</v>
      </c>
      <c r="T65" s="1" t="s">
        <v>189</v>
      </c>
      <c r="U65" s="1" t="s">
        <v>112</v>
      </c>
      <c r="V65" s="1" t="s">
        <v>92</v>
      </c>
      <c r="W65" s="1" t="s">
        <v>108</v>
      </c>
      <c r="X65" s="1" t="s">
        <v>156</v>
      </c>
      <c r="Y65" s="1"/>
      <c r="Z65" s="1" t="s">
        <v>239</v>
      </c>
      <c r="AA65" s="1" t="s">
        <v>66</v>
      </c>
      <c r="AB65" s="1" t="s">
        <v>278</v>
      </c>
      <c r="AC65" s="1" t="s">
        <v>142</v>
      </c>
      <c r="AD65" s="1" t="s">
        <v>251</v>
      </c>
      <c r="AE65" s="1" t="s">
        <v>173</v>
      </c>
      <c r="AF65" s="1" t="s">
        <v>108</v>
      </c>
      <c r="AG65" s="1" t="s">
        <v>138</v>
      </c>
      <c r="AH65" s="1" t="s">
        <v>538</v>
      </c>
      <c r="AI65" s="1" t="s">
        <v>131</v>
      </c>
      <c r="AJ65" s="1" t="s">
        <v>280</v>
      </c>
      <c r="AK65" s="1" t="s">
        <v>165</v>
      </c>
      <c r="AL65" s="1" t="s">
        <v>85</v>
      </c>
      <c r="AM65" s="1" t="s">
        <v>85</v>
      </c>
      <c r="AN65" s="1" t="s">
        <v>156</v>
      </c>
      <c r="AO65" s="1" t="s">
        <v>160</v>
      </c>
    </row>
    <row r="66" spans="1:41" x14ac:dyDescent="0.25">
      <c r="A66" s="1"/>
      <c r="B66" s="1"/>
      <c r="C66" s="1"/>
      <c r="D66" s="1"/>
      <c r="E66" s="1"/>
      <c r="F66" s="1"/>
      <c r="G66" s="5"/>
      <c r="H66" s="1"/>
      <c r="I66" s="1" t="s">
        <v>1</v>
      </c>
      <c r="J66" s="1" t="s">
        <v>1</v>
      </c>
      <c r="K66" s="1" t="s">
        <v>1</v>
      </c>
      <c r="L66" s="1" t="s">
        <v>1</v>
      </c>
      <c r="M66" s="1" t="s">
        <v>1</v>
      </c>
      <c r="N66" s="1" t="s">
        <v>1</v>
      </c>
      <c r="O66" s="1" t="s">
        <v>1</v>
      </c>
      <c r="P66" s="1" t="s">
        <v>1</v>
      </c>
      <c r="Q66" s="1" t="s">
        <v>1</v>
      </c>
      <c r="R66" s="1" t="s">
        <v>1</v>
      </c>
      <c r="S66" s="1" t="s">
        <v>1</v>
      </c>
      <c r="T66" s="1" t="s">
        <v>1</v>
      </c>
      <c r="U66" s="1" t="s">
        <v>1</v>
      </c>
      <c r="V66" s="1" t="s">
        <v>1</v>
      </c>
      <c r="W66" s="1" t="s">
        <v>1</v>
      </c>
      <c r="X66" s="1" t="s">
        <v>1</v>
      </c>
      <c r="Y66" s="1"/>
      <c r="Z66" s="1" t="s">
        <v>701</v>
      </c>
      <c r="AA66" s="1" t="s">
        <v>701</v>
      </c>
      <c r="AB66" s="1" t="s">
        <v>701</v>
      </c>
      <c r="AC66" s="1" t="s">
        <v>701</v>
      </c>
      <c r="AD66" s="1" t="s">
        <v>701</v>
      </c>
      <c r="AE66" s="1" t="s">
        <v>701</v>
      </c>
      <c r="AF66" s="1" t="s">
        <v>701</v>
      </c>
      <c r="AG66" s="1" t="s">
        <v>701</v>
      </c>
      <c r="AH66" s="1" t="s">
        <v>701</v>
      </c>
      <c r="AI66" s="1" t="s">
        <v>701</v>
      </c>
      <c r="AJ66" s="1" t="s">
        <v>701</v>
      </c>
      <c r="AK66" s="1" t="s">
        <v>701</v>
      </c>
      <c r="AL66" s="1" t="s">
        <v>701</v>
      </c>
      <c r="AM66" s="1" t="s">
        <v>701</v>
      </c>
      <c r="AN66" s="1" t="s">
        <v>701</v>
      </c>
      <c r="AO66" s="1" t="s">
        <v>701</v>
      </c>
    </row>
    <row r="67" spans="1:41" x14ac:dyDescent="0.25">
      <c r="A67" s="1" t="s">
        <v>40</v>
      </c>
      <c r="B67" s="1" t="s">
        <v>41</v>
      </c>
      <c r="C67" s="1" t="s">
        <v>42</v>
      </c>
      <c r="D67" s="1" t="s">
        <v>702</v>
      </c>
      <c r="E67" s="1" t="s">
        <v>44</v>
      </c>
      <c r="F67" s="1" t="s">
        <v>45</v>
      </c>
      <c r="G67" s="5" t="s">
        <v>46</v>
      </c>
      <c r="H67" s="1" t="s">
        <v>44</v>
      </c>
      <c r="I67" s="1" t="s">
        <v>703</v>
      </c>
      <c r="J67" s="1" t="s">
        <v>704</v>
      </c>
      <c r="K67" s="1" t="s">
        <v>705</v>
      </c>
      <c r="L67" s="1" t="s">
        <v>706</v>
      </c>
      <c r="M67" s="1" t="s">
        <v>707</v>
      </c>
      <c r="N67" s="1" t="s">
        <v>708</v>
      </c>
      <c r="O67" s="1" t="s">
        <v>709</v>
      </c>
      <c r="P67" s="1" t="s">
        <v>710</v>
      </c>
      <c r="Q67" s="1" t="s">
        <v>711</v>
      </c>
      <c r="R67" s="1" t="s">
        <v>712</v>
      </c>
      <c r="S67" s="1" t="s">
        <v>713</v>
      </c>
      <c r="T67" s="1" t="s">
        <v>714</v>
      </c>
      <c r="U67" s="1" t="s">
        <v>715</v>
      </c>
      <c r="V67" s="1" t="s">
        <v>716</v>
      </c>
      <c r="W67" s="1" t="s">
        <v>717</v>
      </c>
      <c r="X67" s="1" t="s">
        <v>718</v>
      </c>
      <c r="Y67" s="1" t="s">
        <v>702</v>
      </c>
      <c r="Z67" s="1" t="s">
        <v>703</v>
      </c>
      <c r="AA67" s="1" t="s">
        <v>704</v>
      </c>
      <c r="AB67" s="1" t="s">
        <v>705</v>
      </c>
      <c r="AC67" s="1" t="s">
        <v>706</v>
      </c>
      <c r="AD67" s="1" t="s">
        <v>707</v>
      </c>
      <c r="AE67" s="1" t="s">
        <v>708</v>
      </c>
      <c r="AF67" s="1" t="s">
        <v>709</v>
      </c>
      <c r="AG67" s="1" t="s">
        <v>710</v>
      </c>
      <c r="AH67" s="1" t="s">
        <v>711</v>
      </c>
      <c r="AI67" s="1" t="s">
        <v>712</v>
      </c>
      <c r="AJ67" s="1" t="s">
        <v>713</v>
      </c>
      <c r="AK67" s="1" t="s">
        <v>714</v>
      </c>
      <c r="AL67" s="1" t="s">
        <v>715</v>
      </c>
      <c r="AM67" s="1" t="s">
        <v>716</v>
      </c>
      <c r="AN67" s="1" t="s">
        <v>717</v>
      </c>
      <c r="AO67" s="1" t="s">
        <v>718</v>
      </c>
    </row>
    <row r="68" spans="1:41" x14ac:dyDescent="0.25">
      <c r="A68" s="1" t="s">
        <v>300</v>
      </c>
      <c r="B68" s="1" t="s">
        <v>300</v>
      </c>
      <c r="C68" s="1" t="s">
        <v>539</v>
      </c>
      <c r="D68" s="1"/>
      <c r="E68" s="1" t="s">
        <v>192</v>
      </c>
      <c r="F68" s="1" t="s">
        <v>52</v>
      </c>
      <c r="G68" s="5" t="s">
        <v>329</v>
      </c>
      <c r="H68" s="1" t="s">
        <v>152</v>
      </c>
      <c r="I68" s="1" t="s">
        <v>262</v>
      </c>
      <c r="J68" s="1" t="s">
        <v>404</v>
      </c>
      <c r="K68" s="1" t="s">
        <v>174</v>
      </c>
      <c r="L68" s="1" t="s">
        <v>119</v>
      </c>
      <c r="M68" s="1" t="s">
        <v>195</v>
      </c>
      <c r="N68" s="1" t="s">
        <v>225</v>
      </c>
      <c r="O68" s="1" t="s">
        <v>175</v>
      </c>
      <c r="P68" s="1" t="s">
        <v>190</v>
      </c>
      <c r="Q68" s="1" t="s">
        <v>493</v>
      </c>
      <c r="R68" s="1" t="s">
        <v>108</v>
      </c>
      <c r="S68" s="1" t="s">
        <v>256</v>
      </c>
      <c r="T68" s="1" t="s">
        <v>204</v>
      </c>
      <c r="U68" s="1" t="s">
        <v>85</v>
      </c>
      <c r="V68" s="1" t="s">
        <v>70</v>
      </c>
      <c r="W68" s="1" t="s">
        <v>103</v>
      </c>
      <c r="X68" s="1" t="s">
        <v>142</v>
      </c>
      <c r="Y68" s="1"/>
      <c r="Z68" s="1" t="s">
        <v>254</v>
      </c>
      <c r="AA68" s="1" t="s">
        <v>301</v>
      </c>
      <c r="AB68" s="1" t="s">
        <v>426</v>
      </c>
      <c r="AC68" s="1" t="s">
        <v>112</v>
      </c>
      <c r="AD68" s="1" t="s">
        <v>220</v>
      </c>
      <c r="AE68" s="1" t="s">
        <v>528</v>
      </c>
      <c r="AF68" s="1" t="s">
        <v>165</v>
      </c>
      <c r="AG68" s="1" t="s">
        <v>184</v>
      </c>
      <c r="AH68" s="1" t="s">
        <v>540</v>
      </c>
      <c r="AI68" s="1" t="s">
        <v>131</v>
      </c>
      <c r="AJ68" s="1" t="s">
        <v>254</v>
      </c>
      <c r="AK68" s="1" t="s">
        <v>171</v>
      </c>
      <c r="AL68" s="1" t="s">
        <v>78</v>
      </c>
      <c r="AM68" s="1" t="s">
        <v>49</v>
      </c>
      <c r="AN68" s="1" t="s">
        <v>112</v>
      </c>
      <c r="AO68" s="1" t="s">
        <v>181</v>
      </c>
    </row>
    <row r="69" spans="1:41" x14ac:dyDescent="0.25">
      <c r="A69" s="1" t="s">
        <v>302</v>
      </c>
      <c r="B69" s="1" t="s">
        <v>302</v>
      </c>
      <c r="C69" s="1" t="s">
        <v>541</v>
      </c>
      <c r="D69" s="1" t="s">
        <v>57</v>
      </c>
      <c r="E69" s="1" t="s">
        <v>71</v>
      </c>
      <c r="F69" s="1" t="s">
        <v>52</v>
      </c>
      <c r="G69" s="5" t="s">
        <v>80</v>
      </c>
      <c r="H69" s="1" t="s">
        <v>105</v>
      </c>
      <c r="I69" s="1" t="s">
        <v>244</v>
      </c>
      <c r="J69" s="1" t="s">
        <v>303</v>
      </c>
      <c r="K69" s="1" t="s">
        <v>129</v>
      </c>
      <c r="L69" s="1" t="s">
        <v>150</v>
      </c>
      <c r="M69" s="1" t="s">
        <v>260</v>
      </c>
      <c r="N69" s="1" t="s">
        <v>424</v>
      </c>
      <c r="O69" s="1" t="s">
        <v>150</v>
      </c>
      <c r="P69" s="1" t="s">
        <v>150</v>
      </c>
      <c r="Q69" s="1" t="s">
        <v>470</v>
      </c>
      <c r="R69" s="1" t="s">
        <v>92</v>
      </c>
      <c r="S69" s="1" t="s">
        <v>247</v>
      </c>
      <c r="T69" s="1" t="s">
        <v>204</v>
      </c>
      <c r="U69" s="1" t="s">
        <v>98</v>
      </c>
      <c r="V69" s="1" t="s">
        <v>85</v>
      </c>
      <c r="W69" s="1" t="s">
        <v>103</v>
      </c>
      <c r="X69" s="1" t="s">
        <v>160</v>
      </c>
      <c r="Y69" s="1"/>
      <c r="Z69" s="1" t="s">
        <v>230</v>
      </c>
      <c r="AA69" s="1" t="s">
        <v>423</v>
      </c>
      <c r="AB69" s="1" t="s">
        <v>532</v>
      </c>
      <c r="AC69" s="1" t="s">
        <v>131</v>
      </c>
      <c r="AD69" s="1" t="s">
        <v>254</v>
      </c>
      <c r="AE69" s="1" t="s">
        <v>515</v>
      </c>
      <c r="AF69" s="1" t="s">
        <v>138</v>
      </c>
      <c r="AG69" s="1" t="s">
        <v>156</v>
      </c>
      <c r="AH69" s="1" t="s">
        <v>517</v>
      </c>
      <c r="AI69" s="1" t="s">
        <v>131</v>
      </c>
      <c r="AJ69" s="1" t="s">
        <v>264</v>
      </c>
      <c r="AK69" s="1" t="s">
        <v>181</v>
      </c>
      <c r="AL69" s="1" t="s">
        <v>78</v>
      </c>
      <c r="AM69" s="1" t="s">
        <v>49</v>
      </c>
      <c r="AN69" s="1" t="s">
        <v>119</v>
      </c>
      <c r="AO69" s="1" t="s">
        <v>156</v>
      </c>
    </row>
    <row r="70" spans="1:41" x14ac:dyDescent="0.25">
      <c r="A70" s="1" t="s">
        <v>305</v>
      </c>
      <c r="B70" s="1" t="s">
        <v>305</v>
      </c>
      <c r="C70" s="1" t="s">
        <v>542</v>
      </c>
      <c r="D70" s="1" t="s">
        <v>57</v>
      </c>
      <c r="E70" s="1" t="s">
        <v>167</v>
      </c>
      <c r="F70" s="1" t="s">
        <v>52</v>
      </c>
      <c r="G70" s="5" t="s">
        <v>228</v>
      </c>
      <c r="H70" s="1" t="s">
        <v>53</v>
      </c>
      <c r="I70" s="1" t="s">
        <v>264</v>
      </c>
      <c r="J70" s="1" t="s">
        <v>60</v>
      </c>
      <c r="K70" s="1" t="s">
        <v>62</v>
      </c>
      <c r="L70" s="1" t="s">
        <v>112</v>
      </c>
      <c r="M70" s="1" t="s">
        <v>226</v>
      </c>
      <c r="N70" s="1" t="s">
        <v>543</v>
      </c>
      <c r="O70" s="1" t="s">
        <v>181</v>
      </c>
      <c r="P70" s="1" t="s">
        <v>195</v>
      </c>
      <c r="Q70" s="1" t="s">
        <v>389</v>
      </c>
      <c r="R70" s="1" t="s">
        <v>94</v>
      </c>
      <c r="S70" s="1" t="s">
        <v>270</v>
      </c>
      <c r="T70" s="1" t="s">
        <v>226</v>
      </c>
      <c r="U70" s="1" t="s">
        <v>49</v>
      </c>
      <c r="V70" s="1" t="s">
        <v>78</v>
      </c>
      <c r="W70" s="1" t="s">
        <v>119</v>
      </c>
      <c r="X70" s="1" t="s">
        <v>156</v>
      </c>
      <c r="Y70" s="1"/>
      <c r="Z70" s="1" t="s">
        <v>247</v>
      </c>
      <c r="AA70" s="1" t="s">
        <v>245</v>
      </c>
      <c r="AB70" s="1" t="s">
        <v>266</v>
      </c>
      <c r="AC70" s="1" t="s">
        <v>108</v>
      </c>
      <c r="AD70" s="1" t="s">
        <v>240</v>
      </c>
      <c r="AE70" s="1" t="s">
        <v>544</v>
      </c>
      <c r="AF70" s="1" t="s">
        <v>160</v>
      </c>
      <c r="AG70" s="1" t="s">
        <v>165</v>
      </c>
      <c r="AH70" s="1" t="s">
        <v>408</v>
      </c>
      <c r="AI70" s="1" t="s">
        <v>92</v>
      </c>
      <c r="AJ70" s="1" t="s">
        <v>239</v>
      </c>
      <c r="AK70" s="1" t="s">
        <v>175</v>
      </c>
      <c r="AL70" s="1" t="s">
        <v>94</v>
      </c>
      <c r="AM70" s="1" t="s">
        <v>85</v>
      </c>
      <c r="AN70" s="1" t="s">
        <v>103</v>
      </c>
      <c r="AO70" s="1" t="s">
        <v>175</v>
      </c>
    </row>
    <row r="71" spans="1:41" x14ac:dyDescent="0.25">
      <c r="A71" s="1" t="s">
        <v>310</v>
      </c>
      <c r="B71" s="1" t="s">
        <v>310</v>
      </c>
      <c r="C71" s="1" t="s">
        <v>306</v>
      </c>
      <c r="D71" s="1"/>
      <c r="E71" s="1" t="s">
        <v>176</v>
      </c>
      <c r="F71" s="1" t="s">
        <v>65</v>
      </c>
      <c r="G71" s="5" t="s">
        <v>59</v>
      </c>
      <c r="H71" s="1" t="s">
        <v>329</v>
      </c>
      <c r="I71" s="1" t="s">
        <v>244</v>
      </c>
      <c r="J71" s="1" t="s">
        <v>265</v>
      </c>
      <c r="K71" s="1" t="s">
        <v>299</v>
      </c>
      <c r="L71" s="1" t="s">
        <v>119</v>
      </c>
      <c r="M71" s="1" t="s">
        <v>247</v>
      </c>
      <c r="N71" s="1" t="s">
        <v>533</v>
      </c>
      <c r="O71" s="1" t="s">
        <v>138</v>
      </c>
      <c r="P71" s="1" t="s">
        <v>156</v>
      </c>
      <c r="Q71" s="1" t="s">
        <v>517</v>
      </c>
      <c r="R71" s="1" t="s">
        <v>108</v>
      </c>
      <c r="S71" s="1" t="s">
        <v>251</v>
      </c>
      <c r="T71" s="1" t="s">
        <v>160</v>
      </c>
      <c r="U71" s="1" t="s">
        <v>85</v>
      </c>
      <c r="V71" s="1" t="s">
        <v>49</v>
      </c>
      <c r="W71" s="1" t="s">
        <v>94</v>
      </c>
      <c r="X71" s="1" t="s">
        <v>150</v>
      </c>
      <c r="Y71" s="1"/>
      <c r="Z71" s="1" t="s">
        <v>264</v>
      </c>
      <c r="AA71" s="1" t="s">
        <v>423</v>
      </c>
      <c r="AB71" s="1" t="s">
        <v>545</v>
      </c>
      <c r="AC71" s="1" t="s">
        <v>138</v>
      </c>
      <c r="AD71" s="1" t="s">
        <v>230</v>
      </c>
      <c r="AE71" s="1" t="s">
        <v>476</v>
      </c>
      <c r="AF71" s="1" t="s">
        <v>150</v>
      </c>
      <c r="AG71" s="1" t="s">
        <v>160</v>
      </c>
      <c r="AH71" s="1" t="s">
        <v>405</v>
      </c>
      <c r="AI71" s="1" t="s">
        <v>94</v>
      </c>
      <c r="AJ71" s="1" t="s">
        <v>270</v>
      </c>
      <c r="AK71" s="1" t="s">
        <v>181</v>
      </c>
      <c r="AL71" s="1" t="s">
        <v>49</v>
      </c>
      <c r="AM71" s="1" t="s">
        <v>48</v>
      </c>
      <c r="AN71" s="1" t="s">
        <v>103</v>
      </c>
      <c r="AO71" s="1" t="s">
        <v>142</v>
      </c>
    </row>
    <row r="72" spans="1:41" x14ac:dyDescent="0.25">
      <c r="A72" s="1" t="s">
        <v>312</v>
      </c>
      <c r="B72" s="1" t="s">
        <v>312</v>
      </c>
      <c r="C72" s="1" t="s">
        <v>311</v>
      </c>
      <c r="D72" s="1" t="s">
        <v>57</v>
      </c>
      <c r="E72" s="1" t="s">
        <v>249</v>
      </c>
      <c r="F72" s="1" t="s">
        <v>65</v>
      </c>
      <c r="G72" s="5" t="s">
        <v>145</v>
      </c>
      <c r="H72" s="1" t="s">
        <v>134</v>
      </c>
      <c r="I72" s="1" t="s">
        <v>247</v>
      </c>
      <c r="J72" s="1" t="s">
        <v>245</v>
      </c>
      <c r="K72" s="1" t="s">
        <v>266</v>
      </c>
      <c r="L72" s="1" t="s">
        <v>142</v>
      </c>
      <c r="M72" s="1" t="s">
        <v>251</v>
      </c>
      <c r="N72" s="1" t="s">
        <v>173</v>
      </c>
      <c r="O72" s="1" t="s">
        <v>131</v>
      </c>
      <c r="P72" s="1" t="s">
        <v>142</v>
      </c>
      <c r="Q72" s="1" t="s">
        <v>378</v>
      </c>
      <c r="R72" s="1" t="s">
        <v>124</v>
      </c>
      <c r="S72" s="1" t="s">
        <v>275</v>
      </c>
      <c r="T72" s="1" t="s">
        <v>150</v>
      </c>
      <c r="U72" s="1" t="s">
        <v>78</v>
      </c>
      <c r="V72" s="1" t="s">
        <v>50</v>
      </c>
      <c r="W72" s="1" t="s">
        <v>138</v>
      </c>
      <c r="X72" s="1" t="s">
        <v>108</v>
      </c>
      <c r="Y72" s="1"/>
      <c r="Z72" s="1" t="s">
        <v>267</v>
      </c>
      <c r="AA72" s="1" t="s">
        <v>259</v>
      </c>
      <c r="AB72" s="1" t="s">
        <v>546</v>
      </c>
      <c r="AC72" s="1" t="s">
        <v>131</v>
      </c>
      <c r="AD72" s="1" t="s">
        <v>235</v>
      </c>
      <c r="AE72" s="1" t="s">
        <v>173</v>
      </c>
      <c r="AF72" s="1" t="s">
        <v>85</v>
      </c>
      <c r="AG72" s="1" t="s">
        <v>112</v>
      </c>
      <c r="AH72" s="1" t="s">
        <v>219</v>
      </c>
      <c r="AI72" s="1" t="s">
        <v>94</v>
      </c>
      <c r="AJ72" s="1" t="s">
        <v>260</v>
      </c>
      <c r="AK72" s="1" t="s">
        <v>156</v>
      </c>
      <c r="AL72" s="1" t="s">
        <v>98</v>
      </c>
      <c r="AM72" s="1" t="s">
        <v>108</v>
      </c>
      <c r="AN72" s="1" t="s">
        <v>103</v>
      </c>
      <c r="AO72" s="1" t="s">
        <v>150</v>
      </c>
    </row>
    <row r="73" spans="1:41" x14ac:dyDescent="0.25">
      <c r="A73" s="1" t="s">
        <v>314</v>
      </c>
      <c r="B73" s="1" t="s">
        <v>314</v>
      </c>
      <c r="C73" s="1" t="s">
        <v>547</v>
      </c>
      <c r="D73" s="1" t="s">
        <v>57</v>
      </c>
      <c r="E73" s="1" t="s">
        <v>249</v>
      </c>
      <c r="F73" s="1" t="s">
        <v>65</v>
      </c>
      <c r="G73" s="5" t="s">
        <v>67</v>
      </c>
      <c r="H73" s="1" t="s">
        <v>183</v>
      </c>
      <c r="I73" s="1" t="s">
        <v>247</v>
      </c>
      <c r="J73" s="1" t="s">
        <v>430</v>
      </c>
      <c r="K73" s="1" t="s">
        <v>164</v>
      </c>
      <c r="L73" s="1" t="s">
        <v>160</v>
      </c>
      <c r="M73" s="1" t="s">
        <v>254</v>
      </c>
      <c r="N73" s="1" t="s">
        <v>448</v>
      </c>
      <c r="O73" s="1" t="s">
        <v>138</v>
      </c>
      <c r="P73" s="1" t="s">
        <v>189</v>
      </c>
      <c r="Q73" s="1" t="s">
        <v>331</v>
      </c>
      <c r="R73" s="1" t="s">
        <v>85</v>
      </c>
      <c r="S73" s="1" t="s">
        <v>240</v>
      </c>
      <c r="T73" s="1" t="s">
        <v>165</v>
      </c>
      <c r="U73" s="1" t="s">
        <v>85</v>
      </c>
      <c r="V73" s="1" t="s">
        <v>85</v>
      </c>
      <c r="W73" s="1" t="s">
        <v>119</v>
      </c>
      <c r="X73" s="1" t="s">
        <v>184</v>
      </c>
      <c r="Y73" s="1"/>
      <c r="Z73" s="1" t="s">
        <v>256</v>
      </c>
      <c r="AA73" s="1" t="s">
        <v>259</v>
      </c>
      <c r="AB73" s="1" t="s">
        <v>548</v>
      </c>
      <c r="AC73" s="1" t="s">
        <v>124</v>
      </c>
      <c r="AD73" s="1" t="s">
        <v>235</v>
      </c>
      <c r="AE73" s="1" t="s">
        <v>298</v>
      </c>
      <c r="AF73" s="1" t="s">
        <v>171</v>
      </c>
      <c r="AG73" s="1" t="s">
        <v>190</v>
      </c>
      <c r="AH73" s="1" t="s">
        <v>549</v>
      </c>
      <c r="AI73" s="1" t="s">
        <v>131</v>
      </c>
      <c r="AJ73" s="1" t="s">
        <v>284</v>
      </c>
      <c r="AK73" s="1" t="s">
        <v>175</v>
      </c>
      <c r="AL73" s="1" t="s">
        <v>92</v>
      </c>
      <c r="AM73" s="1" t="s">
        <v>49</v>
      </c>
      <c r="AN73" s="1" t="s">
        <v>112</v>
      </c>
      <c r="AO73" s="1" t="s">
        <v>165</v>
      </c>
    </row>
    <row r="74" spans="1:41" x14ac:dyDescent="0.25">
      <c r="A74" s="1" t="s">
        <v>316</v>
      </c>
      <c r="B74" s="1" t="s">
        <v>316</v>
      </c>
      <c r="C74" s="1" t="s">
        <v>550</v>
      </c>
      <c r="D74" s="1" t="s">
        <v>57</v>
      </c>
      <c r="E74" s="1" t="s">
        <v>217</v>
      </c>
      <c r="F74" s="1" t="s">
        <v>65</v>
      </c>
      <c r="G74" s="5" t="s">
        <v>59</v>
      </c>
      <c r="H74" s="1" t="s">
        <v>53</v>
      </c>
      <c r="I74" s="1" t="s">
        <v>247</v>
      </c>
      <c r="J74" s="1" t="s">
        <v>265</v>
      </c>
      <c r="K74" s="1" t="s">
        <v>469</v>
      </c>
      <c r="L74" s="1" t="s">
        <v>119</v>
      </c>
      <c r="M74" s="1" t="s">
        <v>235</v>
      </c>
      <c r="N74" s="1" t="s">
        <v>551</v>
      </c>
      <c r="O74" s="1" t="s">
        <v>124</v>
      </c>
      <c r="P74" s="1" t="s">
        <v>131</v>
      </c>
      <c r="Q74" s="1" t="s">
        <v>468</v>
      </c>
      <c r="R74" s="1" t="s">
        <v>103</v>
      </c>
      <c r="S74" s="1" t="s">
        <v>272</v>
      </c>
      <c r="T74" s="1" t="s">
        <v>150</v>
      </c>
      <c r="U74" s="1" t="s">
        <v>94</v>
      </c>
      <c r="V74" s="1" t="s">
        <v>70</v>
      </c>
      <c r="W74" s="1" t="s">
        <v>119</v>
      </c>
      <c r="X74" s="1" t="s">
        <v>150</v>
      </c>
      <c r="Y74" s="1"/>
      <c r="Z74" s="1" t="s">
        <v>244</v>
      </c>
      <c r="AA74" s="1" t="s">
        <v>60</v>
      </c>
      <c r="AB74" s="1" t="s">
        <v>548</v>
      </c>
      <c r="AC74" s="1" t="s">
        <v>131</v>
      </c>
      <c r="AD74" s="1" t="s">
        <v>220</v>
      </c>
      <c r="AE74" s="1" t="s">
        <v>552</v>
      </c>
      <c r="AF74" s="1" t="s">
        <v>150</v>
      </c>
      <c r="AG74" s="1" t="s">
        <v>189</v>
      </c>
      <c r="AH74" s="1" t="s">
        <v>553</v>
      </c>
      <c r="AI74" s="1" t="s">
        <v>112</v>
      </c>
      <c r="AJ74" s="1" t="s">
        <v>272</v>
      </c>
      <c r="AK74" s="1" t="s">
        <v>175</v>
      </c>
      <c r="AL74" s="1" t="s">
        <v>103</v>
      </c>
      <c r="AM74" s="1" t="s">
        <v>49</v>
      </c>
      <c r="AN74" s="1" t="s">
        <v>112</v>
      </c>
      <c r="AO74" s="1" t="s">
        <v>131</v>
      </c>
    </row>
    <row r="75" spans="1:41" x14ac:dyDescent="0.25">
      <c r="A75" s="1" t="s">
        <v>318</v>
      </c>
      <c r="B75" s="1" t="s">
        <v>318</v>
      </c>
      <c r="C75" s="1" t="s">
        <v>319</v>
      </c>
      <c r="D75" s="1" t="s">
        <v>57</v>
      </c>
      <c r="E75" s="1" t="s">
        <v>104</v>
      </c>
      <c r="F75" s="1" t="s">
        <v>52</v>
      </c>
      <c r="G75" s="5" t="s">
        <v>120</v>
      </c>
      <c r="H75" s="1" t="s">
        <v>152</v>
      </c>
      <c r="I75" s="1" t="s">
        <v>247</v>
      </c>
      <c r="J75" s="1" t="s">
        <v>314</v>
      </c>
      <c r="K75" s="1" t="s">
        <v>154</v>
      </c>
      <c r="L75" s="1" t="s">
        <v>138</v>
      </c>
      <c r="M75" s="1" t="s">
        <v>208</v>
      </c>
      <c r="N75" s="1" t="s">
        <v>545</v>
      </c>
      <c r="O75" s="1" t="s">
        <v>190</v>
      </c>
      <c r="P75" s="1" t="s">
        <v>215</v>
      </c>
      <c r="Q75" s="1" t="s">
        <v>452</v>
      </c>
      <c r="R75" s="1" t="s">
        <v>48</v>
      </c>
      <c r="S75" s="1" t="s">
        <v>226</v>
      </c>
      <c r="T75" s="1" t="s">
        <v>190</v>
      </c>
      <c r="U75" s="1" t="s">
        <v>103</v>
      </c>
      <c r="V75" s="1" t="s">
        <v>78</v>
      </c>
      <c r="W75" s="1" t="s">
        <v>142</v>
      </c>
      <c r="X75" s="1" t="s">
        <v>181</v>
      </c>
      <c r="Y75" s="1"/>
      <c r="Z75" s="1" t="s">
        <v>251</v>
      </c>
      <c r="AA75" s="1" t="s">
        <v>81</v>
      </c>
      <c r="AB75" s="1" t="s">
        <v>155</v>
      </c>
      <c r="AC75" s="1" t="s">
        <v>124</v>
      </c>
      <c r="AD75" s="1" t="s">
        <v>247</v>
      </c>
      <c r="AE75" s="1" t="s">
        <v>554</v>
      </c>
      <c r="AF75" s="1" t="s">
        <v>165</v>
      </c>
      <c r="AG75" s="1" t="s">
        <v>175</v>
      </c>
      <c r="AH75" s="1" t="s">
        <v>504</v>
      </c>
      <c r="AI75" s="1" t="s">
        <v>103</v>
      </c>
      <c r="AJ75" s="1" t="s">
        <v>215</v>
      </c>
      <c r="AK75" s="1" t="s">
        <v>165</v>
      </c>
      <c r="AL75" s="1" t="s">
        <v>94</v>
      </c>
      <c r="AM75" s="1" t="s">
        <v>50</v>
      </c>
      <c r="AN75" s="1" t="s">
        <v>112</v>
      </c>
      <c r="AO75" s="1" t="s">
        <v>175</v>
      </c>
    </row>
    <row r="76" spans="1:41" x14ac:dyDescent="0.25">
      <c r="A76" s="1" t="s">
        <v>321</v>
      </c>
      <c r="B76" s="1" t="s">
        <v>321</v>
      </c>
      <c r="C76" s="1" t="s">
        <v>322</v>
      </c>
      <c r="D76" s="1" t="s">
        <v>57</v>
      </c>
      <c r="E76" s="1" t="s">
        <v>205</v>
      </c>
      <c r="F76" s="1" t="s">
        <v>52</v>
      </c>
      <c r="G76" s="5" t="s">
        <v>106</v>
      </c>
      <c r="H76" s="1" t="s">
        <v>54</v>
      </c>
      <c r="I76" s="1" t="s">
        <v>251</v>
      </c>
      <c r="J76" s="1" t="s">
        <v>60</v>
      </c>
      <c r="K76" s="1" t="s">
        <v>246</v>
      </c>
      <c r="L76" s="1" t="s">
        <v>112</v>
      </c>
      <c r="M76" s="1" t="s">
        <v>215</v>
      </c>
      <c r="N76" s="1" t="s">
        <v>394</v>
      </c>
      <c r="O76" s="1" t="s">
        <v>156</v>
      </c>
      <c r="P76" s="1" t="s">
        <v>184</v>
      </c>
      <c r="Q76" s="1" t="s">
        <v>555</v>
      </c>
      <c r="R76" s="1" t="s">
        <v>119</v>
      </c>
      <c r="S76" s="1" t="s">
        <v>272</v>
      </c>
      <c r="T76" s="1" t="s">
        <v>211</v>
      </c>
      <c r="U76" s="1" t="s">
        <v>70</v>
      </c>
      <c r="V76" s="1" t="s">
        <v>94</v>
      </c>
      <c r="W76" s="1" t="s">
        <v>92</v>
      </c>
      <c r="X76" s="1" t="s">
        <v>156</v>
      </c>
      <c r="Y76" s="1"/>
      <c r="Z76" s="1" t="s">
        <v>240</v>
      </c>
      <c r="AA76" s="1" t="s">
        <v>245</v>
      </c>
      <c r="AB76" s="1" t="s">
        <v>409</v>
      </c>
      <c r="AC76" s="1" t="s">
        <v>150</v>
      </c>
      <c r="AD76" s="1" t="s">
        <v>256</v>
      </c>
      <c r="AE76" s="1" t="s">
        <v>556</v>
      </c>
      <c r="AF76" s="1" t="s">
        <v>108</v>
      </c>
      <c r="AG76" s="1" t="s">
        <v>124</v>
      </c>
      <c r="AH76" s="1" t="s">
        <v>477</v>
      </c>
      <c r="AI76" s="1" t="s">
        <v>103</v>
      </c>
      <c r="AJ76" s="1" t="s">
        <v>260</v>
      </c>
      <c r="AK76" s="1" t="s">
        <v>165</v>
      </c>
      <c r="AL76" s="1" t="s">
        <v>70</v>
      </c>
      <c r="AM76" s="1" t="s">
        <v>78</v>
      </c>
      <c r="AN76" s="1" t="s">
        <v>98</v>
      </c>
      <c r="AO76" s="1" t="s">
        <v>160</v>
      </c>
    </row>
    <row r="77" spans="1:41" x14ac:dyDescent="0.25">
      <c r="A77" s="1" t="s">
        <v>324</v>
      </c>
      <c r="B77" s="1" t="s">
        <v>324</v>
      </c>
      <c r="C77" s="1" t="s">
        <v>557</v>
      </c>
      <c r="D77" s="1"/>
      <c r="E77" s="1" t="s">
        <v>241</v>
      </c>
      <c r="F77" s="1" t="s">
        <v>52</v>
      </c>
      <c r="G77" s="5" t="s">
        <v>329</v>
      </c>
      <c r="H77" s="1" t="s">
        <v>80</v>
      </c>
      <c r="I77" s="1" t="s">
        <v>267</v>
      </c>
      <c r="J77" s="1" t="s">
        <v>416</v>
      </c>
      <c r="K77" s="1" t="s">
        <v>417</v>
      </c>
      <c r="L77" s="1" t="s">
        <v>112</v>
      </c>
      <c r="M77" s="1" t="s">
        <v>195</v>
      </c>
      <c r="N77" s="1" t="s">
        <v>76</v>
      </c>
      <c r="O77" s="1" t="s">
        <v>160</v>
      </c>
      <c r="P77" s="1" t="s">
        <v>190</v>
      </c>
      <c r="Q77" s="1" t="s">
        <v>558</v>
      </c>
      <c r="R77" s="1" t="s">
        <v>49</v>
      </c>
      <c r="S77" s="1" t="s">
        <v>254</v>
      </c>
      <c r="T77" s="1" t="s">
        <v>215</v>
      </c>
      <c r="U77" s="1" t="s">
        <v>49</v>
      </c>
      <c r="V77" s="1" t="s">
        <v>98</v>
      </c>
      <c r="W77" s="1" t="s">
        <v>108</v>
      </c>
      <c r="X77" s="1" t="s">
        <v>156</v>
      </c>
      <c r="Y77" s="1"/>
      <c r="Z77" s="1" t="s">
        <v>254</v>
      </c>
      <c r="AA77" s="1" t="s">
        <v>93</v>
      </c>
      <c r="AB77" s="1" t="s">
        <v>330</v>
      </c>
      <c r="AC77" s="1" t="s">
        <v>94</v>
      </c>
      <c r="AD77" s="1" t="s">
        <v>208</v>
      </c>
      <c r="AE77" s="1" t="s">
        <v>559</v>
      </c>
      <c r="AF77" s="1" t="s">
        <v>171</v>
      </c>
      <c r="AG77" s="1" t="s">
        <v>190</v>
      </c>
      <c r="AH77" s="1" t="s">
        <v>549</v>
      </c>
      <c r="AI77" s="1" t="s">
        <v>138</v>
      </c>
      <c r="AJ77" s="1" t="s">
        <v>262</v>
      </c>
      <c r="AK77" s="1" t="s">
        <v>165</v>
      </c>
      <c r="AL77" s="1" t="s">
        <v>92</v>
      </c>
      <c r="AM77" s="1" t="s">
        <v>48</v>
      </c>
      <c r="AN77" s="1" t="s">
        <v>94</v>
      </c>
      <c r="AO77" s="1" t="s">
        <v>156</v>
      </c>
    </row>
    <row r="78" spans="1:41" x14ac:dyDescent="0.25">
      <c r="A78" s="1" t="s">
        <v>325</v>
      </c>
      <c r="B78" s="1" t="s">
        <v>325</v>
      </c>
      <c r="C78" s="1" t="s">
        <v>560</v>
      </c>
      <c r="D78" s="1"/>
      <c r="E78" s="1" t="s">
        <v>205</v>
      </c>
      <c r="F78" s="1" t="s">
        <v>52</v>
      </c>
      <c r="G78" s="5" t="s">
        <v>177</v>
      </c>
      <c r="H78" s="1" t="s">
        <v>423</v>
      </c>
      <c r="I78" s="1" t="s">
        <v>247</v>
      </c>
      <c r="J78" s="1" t="s">
        <v>404</v>
      </c>
      <c r="K78" s="1" t="s">
        <v>107</v>
      </c>
      <c r="L78" s="1" t="s">
        <v>124</v>
      </c>
      <c r="M78" s="1" t="s">
        <v>220</v>
      </c>
      <c r="N78" s="1" t="s">
        <v>187</v>
      </c>
      <c r="O78" s="1" t="s">
        <v>98</v>
      </c>
      <c r="P78" s="1" t="s">
        <v>131</v>
      </c>
      <c r="Q78" s="1" t="s">
        <v>561</v>
      </c>
      <c r="R78" s="1" t="s">
        <v>94</v>
      </c>
      <c r="S78" s="1" t="s">
        <v>273</v>
      </c>
      <c r="T78" s="1" t="s">
        <v>189</v>
      </c>
      <c r="U78" s="1" t="s">
        <v>85</v>
      </c>
      <c r="V78" s="1" t="s">
        <v>94</v>
      </c>
      <c r="W78" s="1" t="s">
        <v>98</v>
      </c>
      <c r="X78" s="1" t="s">
        <v>138</v>
      </c>
      <c r="Y78" s="1"/>
      <c r="Z78" s="1" t="s">
        <v>220</v>
      </c>
      <c r="AA78" s="1" t="s">
        <v>259</v>
      </c>
      <c r="AB78" s="1" t="s">
        <v>562</v>
      </c>
      <c r="AC78" s="1" t="s">
        <v>108</v>
      </c>
      <c r="AD78" s="1" t="s">
        <v>247</v>
      </c>
      <c r="AE78" s="1" t="s">
        <v>309</v>
      </c>
      <c r="AF78" s="1" t="s">
        <v>112</v>
      </c>
      <c r="AG78" s="1" t="s">
        <v>142</v>
      </c>
      <c r="AH78" s="1" t="s">
        <v>425</v>
      </c>
      <c r="AI78" s="1" t="s">
        <v>156</v>
      </c>
      <c r="AJ78" s="1" t="s">
        <v>273</v>
      </c>
      <c r="AK78" s="1" t="s">
        <v>181</v>
      </c>
      <c r="AL78" s="1" t="s">
        <v>92</v>
      </c>
      <c r="AM78" s="1" t="s">
        <v>70</v>
      </c>
      <c r="AN78" s="1" t="s">
        <v>98</v>
      </c>
      <c r="AO78" s="1" t="s">
        <v>119</v>
      </c>
    </row>
    <row r="79" spans="1:41" x14ac:dyDescent="0.25">
      <c r="A79" s="1" t="s">
        <v>327</v>
      </c>
      <c r="B79" s="1" t="s">
        <v>327</v>
      </c>
      <c r="C79" s="1" t="s">
        <v>328</v>
      </c>
      <c r="D79" s="1"/>
      <c r="E79" s="1" t="s">
        <v>64</v>
      </c>
      <c r="F79" s="1" t="s">
        <v>52</v>
      </c>
      <c r="G79" s="5" t="s">
        <v>198</v>
      </c>
      <c r="H79" s="1" t="s">
        <v>59</v>
      </c>
      <c r="I79" s="1" t="s">
        <v>264</v>
      </c>
      <c r="J79" s="1" t="s">
        <v>303</v>
      </c>
      <c r="K79" s="1" t="s">
        <v>82</v>
      </c>
      <c r="L79" s="1" t="s">
        <v>138</v>
      </c>
      <c r="M79" s="1" t="s">
        <v>204</v>
      </c>
      <c r="N79" s="1" t="s">
        <v>169</v>
      </c>
      <c r="O79" s="1" t="s">
        <v>119</v>
      </c>
      <c r="P79" s="1" t="s">
        <v>142</v>
      </c>
      <c r="Q79" s="1" t="s">
        <v>484</v>
      </c>
      <c r="R79" s="1" t="s">
        <v>70</v>
      </c>
      <c r="S79" s="1" t="s">
        <v>235</v>
      </c>
      <c r="T79" s="1" t="s">
        <v>226</v>
      </c>
      <c r="U79" s="1" t="s">
        <v>98</v>
      </c>
      <c r="V79" s="1" t="s">
        <v>98</v>
      </c>
      <c r="W79" s="1" t="s">
        <v>112</v>
      </c>
      <c r="X79" s="1" t="s">
        <v>160</v>
      </c>
      <c r="Y79" s="1"/>
      <c r="Z79" s="1" t="s">
        <v>239</v>
      </c>
      <c r="AA79" s="1" t="s">
        <v>411</v>
      </c>
      <c r="AB79" s="1" t="s">
        <v>243</v>
      </c>
      <c r="AC79" s="1" t="s">
        <v>112</v>
      </c>
      <c r="AD79" s="1" t="s">
        <v>240</v>
      </c>
      <c r="AE79" s="1" t="s">
        <v>261</v>
      </c>
      <c r="AF79" s="1" t="s">
        <v>165</v>
      </c>
      <c r="AG79" s="1" t="s">
        <v>208</v>
      </c>
      <c r="AH79" s="1" t="s">
        <v>563</v>
      </c>
      <c r="AI79" s="1" t="s">
        <v>108</v>
      </c>
      <c r="AJ79" s="1" t="s">
        <v>260</v>
      </c>
      <c r="AK79" s="1" t="s">
        <v>138</v>
      </c>
      <c r="AL79" s="1" t="s">
        <v>94</v>
      </c>
      <c r="AM79" s="1" t="s">
        <v>78</v>
      </c>
      <c r="AN79" s="1" t="s">
        <v>124</v>
      </c>
      <c r="AO79" s="1" t="s">
        <v>124</v>
      </c>
    </row>
    <row r="80" spans="1:41" ht="14.4" thickBot="1" x14ac:dyDescent="0.3">
      <c r="A80" s="1"/>
      <c r="B80" s="1"/>
      <c r="D80" s="1"/>
      <c r="E80" s="1"/>
      <c r="F80" s="1"/>
      <c r="G80" s="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3:7" ht="14.4" thickTop="1" x14ac:dyDescent="0.25">
      <c r="C81" s="4"/>
      <c r="G81">
        <f>_xlfn.STDEV.P(G83:G154)</f>
        <v>12.063289569885718</v>
      </c>
    </row>
    <row r="83" spans="3:7" x14ac:dyDescent="0.25">
      <c r="G83" s="2">
        <v>125</v>
      </c>
    </row>
    <row r="84" spans="3:7" x14ac:dyDescent="0.25">
      <c r="G84" s="3">
        <v>123</v>
      </c>
    </row>
    <row r="85" spans="3:7" x14ac:dyDescent="0.25">
      <c r="G85" s="2">
        <v>104</v>
      </c>
    </row>
    <row r="86" spans="3:7" x14ac:dyDescent="0.25">
      <c r="G86" s="3">
        <v>111</v>
      </c>
    </row>
    <row r="87" spans="3:7" x14ac:dyDescent="0.25">
      <c r="G87" s="2">
        <v>145</v>
      </c>
    </row>
    <row r="88" spans="3:7" x14ac:dyDescent="0.25">
      <c r="G88" s="3">
        <v>96</v>
      </c>
    </row>
    <row r="89" spans="3:7" x14ac:dyDescent="0.25">
      <c r="G89" s="2">
        <v>122</v>
      </c>
    </row>
    <row r="90" spans="3:7" x14ac:dyDescent="0.25">
      <c r="G90" s="3">
        <v>130</v>
      </c>
    </row>
    <row r="91" spans="3:7" x14ac:dyDescent="0.25">
      <c r="G91" s="2">
        <v>122</v>
      </c>
    </row>
    <row r="92" spans="3:7" x14ac:dyDescent="0.25">
      <c r="G92" s="3">
        <v>110</v>
      </c>
    </row>
    <row r="93" spans="3:7" x14ac:dyDescent="0.25">
      <c r="G93" s="2">
        <v>116</v>
      </c>
    </row>
    <row r="94" spans="3:7" x14ac:dyDescent="0.25">
      <c r="G94" s="3">
        <v>122</v>
      </c>
    </row>
    <row r="95" spans="3:7" x14ac:dyDescent="0.25">
      <c r="G95" s="2">
        <v>116</v>
      </c>
    </row>
    <row r="96" spans="3:7" x14ac:dyDescent="0.25">
      <c r="G96" s="3">
        <v>122</v>
      </c>
    </row>
    <row r="97" spans="7:7" x14ac:dyDescent="0.25">
      <c r="G97" s="2">
        <v>125</v>
      </c>
    </row>
    <row r="98" spans="7:7" x14ac:dyDescent="0.25">
      <c r="G98" s="3">
        <v>135</v>
      </c>
    </row>
    <row r="99" spans="7:7" x14ac:dyDescent="0.25">
      <c r="G99" s="2">
        <v>113</v>
      </c>
    </row>
    <row r="100" spans="7:7" x14ac:dyDescent="0.25">
      <c r="G100" s="3">
        <v>128</v>
      </c>
    </row>
    <row r="101" spans="7:7" x14ac:dyDescent="0.25">
      <c r="G101" s="2">
        <v>98</v>
      </c>
    </row>
    <row r="102" spans="7:7" x14ac:dyDescent="0.25">
      <c r="G102" s="3">
        <v>132</v>
      </c>
    </row>
    <row r="103" spans="7:7" x14ac:dyDescent="0.25">
      <c r="G103" s="2">
        <v>147</v>
      </c>
    </row>
    <row r="104" spans="7:7" x14ac:dyDescent="0.25">
      <c r="G104" s="3">
        <v>146</v>
      </c>
    </row>
    <row r="105" spans="7:7" x14ac:dyDescent="0.25">
      <c r="G105" s="2">
        <v>124</v>
      </c>
    </row>
    <row r="106" spans="7:7" x14ac:dyDescent="0.25">
      <c r="G106" s="3">
        <v>117</v>
      </c>
    </row>
    <row r="107" spans="7:7" x14ac:dyDescent="0.25">
      <c r="G107" s="2">
        <v>108</v>
      </c>
    </row>
    <row r="108" spans="7:7" x14ac:dyDescent="0.25">
      <c r="G108" s="3">
        <v>111</v>
      </c>
    </row>
    <row r="109" spans="7:7" x14ac:dyDescent="0.25">
      <c r="G109" s="2">
        <v>104</v>
      </c>
    </row>
    <row r="110" spans="7:7" x14ac:dyDescent="0.25">
      <c r="G110" s="3">
        <v>134</v>
      </c>
    </row>
    <row r="111" spans="7:7" x14ac:dyDescent="0.25">
      <c r="G111" s="2">
        <v>136</v>
      </c>
    </row>
    <row r="112" spans="7:7" x14ac:dyDescent="0.25">
      <c r="G112" s="3">
        <v>128</v>
      </c>
    </row>
    <row r="113" spans="7:7" x14ac:dyDescent="0.25">
      <c r="G113" s="2">
        <v>109</v>
      </c>
    </row>
    <row r="114" spans="7:7" x14ac:dyDescent="0.25">
      <c r="G114" s="3">
        <v>112</v>
      </c>
    </row>
    <row r="115" spans="7:7" x14ac:dyDescent="0.25">
      <c r="G115" s="2">
        <v>127</v>
      </c>
    </row>
    <row r="116" spans="7:7" x14ac:dyDescent="0.25">
      <c r="G116" s="3">
        <v>129</v>
      </c>
    </row>
    <row r="117" spans="7:7" x14ac:dyDescent="0.25">
      <c r="G117" s="2">
        <v>98</v>
      </c>
    </row>
    <row r="118" spans="7:7" x14ac:dyDescent="0.25">
      <c r="G118" s="3">
        <v>124</v>
      </c>
    </row>
    <row r="119" spans="7:7" x14ac:dyDescent="0.25">
      <c r="G119" s="2">
        <v>132</v>
      </c>
    </row>
    <row r="120" spans="7:7" x14ac:dyDescent="0.25">
      <c r="G120" s="3">
        <v>121</v>
      </c>
    </row>
    <row r="121" spans="7:7" x14ac:dyDescent="0.25">
      <c r="G121" s="2">
        <v>100</v>
      </c>
    </row>
    <row r="122" spans="7:7" x14ac:dyDescent="0.25">
      <c r="G122" s="3">
        <v>117</v>
      </c>
    </row>
    <row r="123" spans="7:7" x14ac:dyDescent="0.25">
      <c r="G123" s="2">
        <v>124</v>
      </c>
    </row>
    <row r="124" spans="7:7" x14ac:dyDescent="0.25">
      <c r="G124" s="3">
        <v>113</v>
      </c>
    </row>
    <row r="125" spans="7:7" x14ac:dyDescent="0.25">
      <c r="G125" s="2">
        <v>113</v>
      </c>
    </row>
    <row r="126" spans="7:7" x14ac:dyDescent="0.25">
      <c r="G126" s="3">
        <v>116</v>
      </c>
    </row>
    <row r="127" spans="7:7" x14ac:dyDescent="0.25">
      <c r="G127" s="2">
        <v>88</v>
      </c>
    </row>
    <row r="128" spans="7:7" x14ac:dyDescent="0.25">
      <c r="G128" s="3">
        <v>113</v>
      </c>
    </row>
    <row r="129" spans="7:7" x14ac:dyDescent="0.25">
      <c r="G129" s="2">
        <v>112</v>
      </c>
    </row>
    <row r="130" spans="7:7" x14ac:dyDescent="0.25">
      <c r="G130" s="3">
        <v>120</v>
      </c>
    </row>
    <row r="131" spans="7:7" x14ac:dyDescent="0.25">
      <c r="G131" s="2">
        <v>111</v>
      </c>
    </row>
    <row r="132" spans="7:7" x14ac:dyDescent="0.25">
      <c r="G132" s="3">
        <v>107</v>
      </c>
    </row>
    <row r="133" spans="7:7" x14ac:dyDescent="0.25">
      <c r="G133" s="2">
        <v>114</v>
      </c>
    </row>
    <row r="134" spans="7:7" x14ac:dyDescent="0.25">
      <c r="G134" s="3">
        <v>139</v>
      </c>
    </row>
    <row r="135" spans="7:7" x14ac:dyDescent="0.25">
      <c r="G135" s="2">
        <v>101</v>
      </c>
    </row>
    <row r="136" spans="7:7" x14ac:dyDescent="0.25">
      <c r="G136" s="3">
        <v>127</v>
      </c>
    </row>
    <row r="137" spans="7:7" x14ac:dyDescent="0.25">
      <c r="G137" s="2">
        <v>117</v>
      </c>
    </row>
    <row r="138" spans="7:7" x14ac:dyDescent="0.25">
      <c r="G138" s="3">
        <v>130</v>
      </c>
    </row>
    <row r="139" spans="7:7" x14ac:dyDescent="0.25">
      <c r="G139" s="2">
        <v>107</v>
      </c>
    </row>
    <row r="140" spans="7:7" x14ac:dyDescent="0.25">
      <c r="G140" s="3">
        <v>134</v>
      </c>
    </row>
    <row r="141" spans="7:7" x14ac:dyDescent="0.25">
      <c r="G141" s="2">
        <v>103</v>
      </c>
    </row>
    <row r="142" spans="7:7" x14ac:dyDescent="0.25">
      <c r="G142" s="3">
        <v>109</v>
      </c>
    </row>
    <row r="143" spans="7:7" x14ac:dyDescent="0.25">
      <c r="G143" s="2">
        <v>128</v>
      </c>
    </row>
    <row r="144" spans="7:7" x14ac:dyDescent="0.25">
      <c r="G144" s="3">
        <v>116</v>
      </c>
    </row>
    <row r="145" spans="7:7" x14ac:dyDescent="0.25">
      <c r="G145" s="2">
        <v>130</v>
      </c>
    </row>
    <row r="146" spans="7:7" x14ac:dyDescent="0.25">
      <c r="G146" s="3">
        <v>109</v>
      </c>
    </row>
    <row r="147" spans="7:7" x14ac:dyDescent="0.25">
      <c r="G147" s="2">
        <v>114</v>
      </c>
    </row>
    <row r="148" spans="7:7" x14ac:dyDescent="0.25">
      <c r="G148" s="3">
        <v>118</v>
      </c>
    </row>
    <row r="149" spans="7:7" x14ac:dyDescent="0.25">
      <c r="G149" s="2">
        <v>109</v>
      </c>
    </row>
    <row r="150" spans="7:7" x14ac:dyDescent="0.25">
      <c r="G150" s="3">
        <v>125</v>
      </c>
    </row>
    <row r="151" spans="7:7" x14ac:dyDescent="0.25">
      <c r="G151" s="2">
        <v>115</v>
      </c>
    </row>
    <row r="152" spans="7:7" x14ac:dyDescent="0.25">
      <c r="G152" s="3">
        <v>128</v>
      </c>
    </row>
    <row r="153" spans="7:7" x14ac:dyDescent="0.25">
      <c r="G153" s="2">
        <v>105</v>
      </c>
    </row>
    <row r="154" spans="7:7" x14ac:dyDescent="0.25">
      <c r="G154" s="3">
        <v>123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5E400-8B76-4830-8238-9A5F51A66B37}">
  <dimension ref="A1:AO154"/>
  <sheetViews>
    <sheetView topLeftCell="A134" workbookViewId="0">
      <selection activeCell="G82" sqref="G82"/>
    </sheetView>
  </sheetViews>
  <sheetFormatPr defaultRowHeight="13.8" x14ac:dyDescent="0.25"/>
  <cols>
    <col min="1" max="1" width="6" bestFit="1" customWidth="1"/>
    <col min="2" max="2" width="5.21875" bestFit="1" customWidth="1"/>
    <col min="3" max="3" width="11.6640625" bestFit="1" customWidth="1"/>
    <col min="4" max="4" width="12.109375" bestFit="1" customWidth="1"/>
    <col min="5" max="5" width="7.77734375" bestFit="1" customWidth="1"/>
    <col min="6" max="6" width="7.44140625" bestFit="1" customWidth="1"/>
    <col min="7" max="7" width="12.77734375" bestFit="1" customWidth="1"/>
    <col min="9" max="9" width="11.77734375" bestFit="1" customWidth="1"/>
    <col min="10" max="10" width="13.21875" bestFit="1" customWidth="1"/>
    <col min="11" max="11" width="12.77734375" bestFit="1" customWidth="1"/>
    <col min="12" max="12" width="11.6640625" bestFit="1" customWidth="1"/>
    <col min="13" max="13" width="13.109375" bestFit="1" customWidth="1"/>
    <col min="14" max="14" width="12.6640625" bestFit="1" customWidth="1"/>
    <col min="15" max="15" width="11.44140625" bestFit="1" customWidth="1"/>
    <col min="16" max="16" width="12.77734375" bestFit="1" customWidth="1"/>
    <col min="17" max="17" width="12.44140625" bestFit="1" customWidth="1"/>
    <col min="18" max="18" width="13.44140625" bestFit="1" customWidth="1"/>
    <col min="19" max="20" width="12.88671875" bestFit="1" customWidth="1"/>
    <col min="21" max="21" width="12.5546875" bestFit="1" customWidth="1"/>
    <col min="22" max="22" width="12.77734375" bestFit="1" customWidth="1"/>
    <col min="23" max="23" width="13.44140625" bestFit="1" customWidth="1"/>
    <col min="24" max="24" width="11.5546875" bestFit="1" customWidth="1"/>
    <col min="25" max="25" width="4.88671875" bestFit="1" customWidth="1"/>
    <col min="26" max="26" width="16.6640625" bestFit="1" customWidth="1"/>
    <col min="27" max="27" width="18.21875" bestFit="1" customWidth="1"/>
    <col min="28" max="28" width="17.77734375" bestFit="1" customWidth="1"/>
    <col min="29" max="29" width="16.5546875" bestFit="1" customWidth="1"/>
    <col min="30" max="30" width="18.109375" bestFit="1" customWidth="1"/>
    <col min="31" max="31" width="17.6640625" bestFit="1" customWidth="1"/>
    <col min="32" max="32" width="16.33203125" bestFit="1" customWidth="1"/>
    <col min="33" max="33" width="17.77734375" bestFit="1" customWidth="1"/>
    <col min="34" max="34" width="17.44140625" bestFit="1" customWidth="1"/>
    <col min="35" max="35" width="18.44140625" bestFit="1" customWidth="1"/>
    <col min="36" max="37" width="17.88671875" bestFit="1" customWidth="1"/>
    <col min="38" max="38" width="17.5546875" bestFit="1" customWidth="1"/>
    <col min="39" max="39" width="17.77734375" bestFit="1" customWidth="1"/>
    <col min="40" max="40" width="18.44140625" bestFit="1" customWidth="1"/>
    <col min="41" max="41" width="16.44140625" bestFit="1" customWidth="1"/>
  </cols>
  <sheetData>
    <row r="1" spans="1:41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48</v>
      </c>
      <c r="Z1" t="s">
        <v>348</v>
      </c>
      <c r="AA1" t="s">
        <v>349</v>
      </c>
      <c r="AB1" t="s">
        <v>350</v>
      </c>
      <c r="AC1" t="s">
        <v>351</v>
      </c>
      <c r="AD1" t="s">
        <v>352</v>
      </c>
      <c r="AE1" t="s">
        <v>353</v>
      </c>
      <c r="AF1" t="s">
        <v>354</v>
      </c>
      <c r="AG1" t="s">
        <v>355</v>
      </c>
      <c r="AH1" t="s">
        <v>356</v>
      </c>
      <c r="AI1" t="s">
        <v>357</v>
      </c>
      <c r="AJ1" t="s">
        <v>358</v>
      </c>
      <c r="AK1" t="s">
        <v>359</v>
      </c>
      <c r="AL1" t="s">
        <v>360</v>
      </c>
      <c r="AM1" t="s">
        <v>361</v>
      </c>
      <c r="AN1" t="s">
        <v>362</v>
      </c>
      <c r="AO1" t="s">
        <v>363</v>
      </c>
    </row>
    <row r="2" spans="1:41" x14ac:dyDescent="0.25">
      <c r="A2" s="1" t="s">
        <v>50</v>
      </c>
      <c r="B2" s="1" t="s">
        <v>50</v>
      </c>
      <c r="C2" s="1" t="s">
        <v>364</v>
      </c>
      <c r="D2" s="1"/>
      <c r="E2" s="1" t="s">
        <v>263</v>
      </c>
      <c r="F2" s="1" t="s">
        <v>65</v>
      </c>
      <c r="G2" s="1" t="s">
        <v>59</v>
      </c>
      <c r="H2" s="1" t="s">
        <v>80</v>
      </c>
      <c r="I2" s="1" t="s">
        <v>239</v>
      </c>
      <c r="J2" s="1" t="s">
        <v>391</v>
      </c>
      <c r="K2" s="1" t="s">
        <v>407</v>
      </c>
      <c r="L2" s="1" t="s">
        <v>98</v>
      </c>
      <c r="M2" s="1" t="s">
        <v>200</v>
      </c>
      <c r="N2" s="1" t="s">
        <v>500</v>
      </c>
      <c r="O2" s="1" t="s">
        <v>181</v>
      </c>
      <c r="P2" s="1" t="s">
        <v>208</v>
      </c>
      <c r="Q2" s="1" t="s">
        <v>564</v>
      </c>
      <c r="R2" s="1" t="s">
        <v>94</v>
      </c>
      <c r="S2" s="1" t="s">
        <v>260</v>
      </c>
      <c r="T2" s="1" t="s">
        <v>171</v>
      </c>
      <c r="U2" s="1" t="s">
        <v>70</v>
      </c>
      <c r="V2" s="1" t="s">
        <v>48</v>
      </c>
      <c r="W2" s="1" t="s">
        <v>156</v>
      </c>
      <c r="X2" s="1" t="s">
        <v>160</v>
      </c>
      <c r="Y2" s="1"/>
      <c r="Z2" s="1" t="s">
        <v>256</v>
      </c>
      <c r="AA2" s="1" t="s">
        <v>73</v>
      </c>
      <c r="AB2" s="1" t="s">
        <v>153</v>
      </c>
      <c r="AC2" s="1" t="s">
        <v>124</v>
      </c>
      <c r="AD2" s="1" t="s">
        <v>244</v>
      </c>
      <c r="AE2" s="1" t="s">
        <v>565</v>
      </c>
      <c r="AF2" s="1" t="s">
        <v>124</v>
      </c>
      <c r="AG2" s="1" t="s">
        <v>156</v>
      </c>
      <c r="AH2" s="1" t="s">
        <v>481</v>
      </c>
      <c r="AI2" s="1" t="s">
        <v>108</v>
      </c>
      <c r="AJ2" s="1" t="s">
        <v>244</v>
      </c>
      <c r="AK2" s="1" t="s">
        <v>171</v>
      </c>
      <c r="AL2" s="1" t="s">
        <v>103</v>
      </c>
      <c r="AM2" s="1" t="s">
        <v>49</v>
      </c>
      <c r="AN2" s="1" t="s">
        <v>138</v>
      </c>
      <c r="AO2" s="1" t="s">
        <v>200</v>
      </c>
    </row>
    <row r="3" spans="1:41" x14ac:dyDescent="0.25">
      <c r="A3" s="1" t="s">
        <v>48</v>
      </c>
      <c r="B3" s="1" t="s">
        <v>48</v>
      </c>
      <c r="C3" s="1" t="s">
        <v>369</v>
      </c>
      <c r="D3" s="1"/>
      <c r="E3" s="1" t="s">
        <v>217</v>
      </c>
      <c r="F3" s="1" t="s">
        <v>52</v>
      </c>
      <c r="G3" s="1" t="s">
        <v>566</v>
      </c>
      <c r="H3" s="1" t="s">
        <v>106</v>
      </c>
      <c r="I3" s="1" t="s">
        <v>272</v>
      </c>
      <c r="J3" s="1" t="s">
        <v>423</v>
      </c>
      <c r="K3" s="1" t="s">
        <v>308</v>
      </c>
      <c r="L3" s="1" t="s">
        <v>156</v>
      </c>
      <c r="M3" s="1" t="s">
        <v>240</v>
      </c>
      <c r="N3" s="1" t="s">
        <v>567</v>
      </c>
      <c r="O3" s="1" t="s">
        <v>142</v>
      </c>
      <c r="P3" s="1" t="s">
        <v>181</v>
      </c>
      <c r="Q3" s="1" t="s">
        <v>485</v>
      </c>
      <c r="R3" s="1" t="s">
        <v>142</v>
      </c>
      <c r="S3" s="1" t="s">
        <v>275</v>
      </c>
      <c r="T3" s="1" t="s">
        <v>215</v>
      </c>
      <c r="U3" s="1" t="s">
        <v>98</v>
      </c>
      <c r="V3" s="1" t="s">
        <v>70</v>
      </c>
      <c r="W3" s="1" t="s">
        <v>138</v>
      </c>
      <c r="X3" s="1" t="s">
        <v>175</v>
      </c>
      <c r="Y3" s="1"/>
      <c r="Z3" s="1" t="s">
        <v>247</v>
      </c>
      <c r="AA3" s="1" t="s">
        <v>303</v>
      </c>
      <c r="AB3" s="1" t="s">
        <v>69</v>
      </c>
      <c r="AC3" s="1" t="s">
        <v>119</v>
      </c>
      <c r="AD3" s="1" t="s">
        <v>211</v>
      </c>
      <c r="AE3" s="1" t="s">
        <v>409</v>
      </c>
      <c r="AF3" s="1" t="s">
        <v>160</v>
      </c>
      <c r="AG3" s="1" t="s">
        <v>189</v>
      </c>
      <c r="AH3" s="1" t="s">
        <v>519</v>
      </c>
      <c r="AI3" s="1" t="s">
        <v>49</v>
      </c>
      <c r="AJ3" s="1" t="s">
        <v>190</v>
      </c>
      <c r="AK3" s="1" t="s">
        <v>160</v>
      </c>
      <c r="AL3" s="1" t="s">
        <v>119</v>
      </c>
      <c r="AM3" s="1" t="s">
        <v>49</v>
      </c>
      <c r="AN3" s="1" t="s">
        <v>98</v>
      </c>
      <c r="AO3" s="1" t="s">
        <v>171</v>
      </c>
    </row>
    <row r="4" spans="1:41" x14ac:dyDescent="0.25">
      <c r="A4" s="1" t="s">
        <v>49</v>
      </c>
      <c r="B4" s="1" t="s">
        <v>49</v>
      </c>
      <c r="C4" s="1" t="s">
        <v>63</v>
      </c>
      <c r="D4" s="1"/>
      <c r="E4" s="1" t="s">
        <v>162</v>
      </c>
      <c r="F4" s="1" t="s">
        <v>52</v>
      </c>
      <c r="G4" s="1" t="s">
        <v>87</v>
      </c>
      <c r="H4" s="1" t="s">
        <v>423</v>
      </c>
      <c r="I4" s="1" t="s">
        <v>270</v>
      </c>
      <c r="J4" s="1" t="s">
        <v>301</v>
      </c>
      <c r="K4" s="1" t="s">
        <v>568</v>
      </c>
      <c r="L4" s="1" t="s">
        <v>119</v>
      </c>
      <c r="M4" s="1" t="s">
        <v>226</v>
      </c>
      <c r="N4" s="1" t="s">
        <v>569</v>
      </c>
      <c r="O4" s="1" t="s">
        <v>124</v>
      </c>
      <c r="P4" s="1" t="s">
        <v>150</v>
      </c>
      <c r="Q4" s="1" t="s">
        <v>503</v>
      </c>
      <c r="R4" s="1" t="s">
        <v>78</v>
      </c>
      <c r="S4" s="1" t="s">
        <v>262</v>
      </c>
      <c r="T4" s="1" t="s">
        <v>211</v>
      </c>
      <c r="U4" s="1" t="s">
        <v>85</v>
      </c>
      <c r="V4" s="1" t="s">
        <v>124</v>
      </c>
      <c r="W4" s="1" t="s">
        <v>142</v>
      </c>
      <c r="X4" s="1" t="s">
        <v>156</v>
      </c>
      <c r="Y4" s="1"/>
      <c r="Z4" s="1" t="s">
        <v>239</v>
      </c>
      <c r="AA4" s="1" t="s">
        <v>105</v>
      </c>
      <c r="AB4" s="1" t="s">
        <v>75</v>
      </c>
      <c r="AC4" s="1" t="s">
        <v>85</v>
      </c>
      <c r="AD4" s="1" t="s">
        <v>226</v>
      </c>
      <c r="AE4" s="1" t="s">
        <v>570</v>
      </c>
      <c r="AF4" s="1" t="s">
        <v>98</v>
      </c>
      <c r="AG4" s="1" t="s">
        <v>124</v>
      </c>
      <c r="AH4" s="1" t="s">
        <v>571</v>
      </c>
      <c r="AI4" s="1" t="s">
        <v>142</v>
      </c>
      <c r="AJ4" s="1" t="s">
        <v>267</v>
      </c>
      <c r="AK4" s="1" t="s">
        <v>181</v>
      </c>
      <c r="AL4" s="1" t="s">
        <v>108</v>
      </c>
      <c r="AM4" s="1" t="s">
        <v>85</v>
      </c>
      <c r="AN4" s="1" t="s">
        <v>142</v>
      </c>
      <c r="AO4" s="1" t="s">
        <v>181</v>
      </c>
    </row>
    <row r="5" spans="1:41" x14ac:dyDescent="0.25">
      <c r="A5" s="1" t="s">
        <v>70</v>
      </c>
      <c r="B5" s="1" t="s">
        <v>70</v>
      </c>
      <c r="C5" s="1" t="s">
        <v>376</v>
      </c>
      <c r="D5" s="1"/>
      <c r="E5" s="1" t="s">
        <v>176</v>
      </c>
      <c r="F5" s="1" t="s">
        <v>65</v>
      </c>
      <c r="G5" s="1" t="s">
        <v>54</v>
      </c>
      <c r="H5" s="1" t="s">
        <v>106</v>
      </c>
      <c r="I5" s="1" t="s">
        <v>247</v>
      </c>
      <c r="J5" s="1" t="s">
        <v>404</v>
      </c>
      <c r="K5" s="1" t="s">
        <v>107</v>
      </c>
      <c r="L5" s="1" t="s">
        <v>103</v>
      </c>
      <c r="M5" s="1" t="s">
        <v>190</v>
      </c>
      <c r="N5" s="1" t="s">
        <v>304</v>
      </c>
      <c r="O5" s="1" t="s">
        <v>131</v>
      </c>
      <c r="P5" s="1" t="s">
        <v>150</v>
      </c>
      <c r="Q5" s="1" t="s">
        <v>412</v>
      </c>
      <c r="R5" s="1" t="s">
        <v>85</v>
      </c>
      <c r="S5" s="1" t="s">
        <v>247</v>
      </c>
      <c r="T5" s="1" t="s">
        <v>160</v>
      </c>
      <c r="U5" s="1" t="s">
        <v>85</v>
      </c>
      <c r="V5" s="1" t="s">
        <v>78</v>
      </c>
      <c r="W5" s="1" t="s">
        <v>124</v>
      </c>
      <c r="X5" s="1" t="s">
        <v>124</v>
      </c>
      <c r="Y5" s="1"/>
      <c r="Z5" s="1" t="s">
        <v>254</v>
      </c>
      <c r="AA5" s="1" t="s">
        <v>81</v>
      </c>
      <c r="AB5" s="1" t="s">
        <v>572</v>
      </c>
      <c r="AC5" s="1" t="s">
        <v>138</v>
      </c>
      <c r="AD5" s="1" t="s">
        <v>262</v>
      </c>
      <c r="AE5" s="1" t="s">
        <v>573</v>
      </c>
      <c r="AF5" s="1" t="s">
        <v>119</v>
      </c>
      <c r="AG5" s="1" t="s">
        <v>131</v>
      </c>
      <c r="AH5" s="1" t="s">
        <v>479</v>
      </c>
      <c r="AI5" s="1" t="s">
        <v>92</v>
      </c>
      <c r="AJ5" s="1" t="s">
        <v>260</v>
      </c>
      <c r="AK5" s="1" t="s">
        <v>190</v>
      </c>
      <c r="AL5" s="1" t="s">
        <v>98</v>
      </c>
      <c r="AM5" s="1" t="s">
        <v>85</v>
      </c>
      <c r="AN5" s="1" t="s">
        <v>98</v>
      </c>
      <c r="AO5" s="1" t="s">
        <v>138</v>
      </c>
    </row>
    <row r="6" spans="1:41" x14ac:dyDescent="0.25">
      <c r="A6" s="1" t="s">
        <v>78</v>
      </c>
      <c r="B6" s="1" t="s">
        <v>78</v>
      </c>
      <c r="C6" s="1" t="s">
        <v>380</v>
      </c>
      <c r="D6" s="1" t="s">
        <v>57</v>
      </c>
      <c r="E6" s="1" t="s">
        <v>241</v>
      </c>
      <c r="F6" s="1" t="s">
        <v>52</v>
      </c>
      <c r="G6" s="1" t="s">
        <v>178</v>
      </c>
      <c r="H6" s="1" t="s">
        <v>54</v>
      </c>
      <c r="I6" s="1" t="s">
        <v>262</v>
      </c>
      <c r="J6" s="1" t="s">
        <v>372</v>
      </c>
      <c r="K6" s="1" t="s">
        <v>574</v>
      </c>
      <c r="L6" s="1" t="s">
        <v>124</v>
      </c>
      <c r="M6" s="1" t="s">
        <v>189</v>
      </c>
      <c r="N6" s="1" t="s">
        <v>203</v>
      </c>
      <c r="O6" s="1" t="s">
        <v>131</v>
      </c>
      <c r="P6" s="1" t="s">
        <v>160</v>
      </c>
      <c r="Q6" s="1" t="s">
        <v>398</v>
      </c>
      <c r="R6" s="1" t="s">
        <v>92</v>
      </c>
      <c r="S6" s="1" t="s">
        <v>264</v>
      </c>
      <c r="T6" s="1" t="s">
        <v>184</v>
      </c>
      <c r="U6" s="1" t="s">
        <v>70</v>
      </c>
      <c r="V6" s="1" t="s">
        <v>49</v>
      </c>
      <c r="W6" s="1" t="s">
        <v>142</v>
      </c>
      <c r="X6" s="1" t="s">
        <v>181</v>
      </c>
      <c r="Y6" s="1"/>
      <c r="Z6" s="1" t="s">
        <v>244</v>
      </c>
      <c r="AA6" s="1" t="s">
        <v>404</v>
      </c>
      <c r="AB6" s="1" t="s">
        <v>111</v>
      </c>
      <c r="AC6" s="1" t="s">
        <v>103</v>
      </c>
      <c r="AD6" s="1" t="s">
        <v>181</v>
      </c>
      <c r="AE6" s="1" t="s">
        <v>457</v>
      </c>
      <c r="AF6" s="1" t="s">
        <v>142</v>
      </c>
      <c r="AG6" s="1" t="s">
        <v>175</v>
      </c>
      <c r="AH6" s="1" t="s">
        <v>498</v>
      </c>
      <c r="AI6" s="1" t="s">
        <v>92</v>
      </c>
      <c r="AJ6" s="1" t="s">
        <v>240</v>
      </c>
      <c r="AK6" s="1" t="s">
        <v>184</v>
      </c>
      <c r="AL6" s="1" t="s">
        <v>94</v>
      </c>
      <c r="AM6" s="1" t="s">
        <v>70</v>
      </c>
      <c r="AN6" s="1" t="s">
        <v>103</v>
      </c>
      <c r="AO6" s="1" t="s">
        <v>150</v>
      </c>
    </row>
    <row r="7" spans="1:41" x14ac:dyDescent="0.25">
      <c r="A7" s="1" t="s">
        <v>85</v>
      </c>
      <c r="B7" s="1" t="s">
        <v>85</v>
      </c>
      <c r="C7" s="1" t="s">
        <v>386</v>
      </c>
      <c r="D7" s="1" t="s">
        <v>57</v>
      </c>
      <c r="E7" s="1" t="s">
        <v>241</v>
      </c>
      <c r="F7" s="1" t="s">
        <v>52</v>
      </c>
      <c r="G7" s="1" t="s">
        <v>59</v>
      </c>
      <c r="H7" s="1" t="s">
        <v>105</v>
      </c>
      <c r="I7" s="1" t="s">
        <v>247</v>
      </c>
      <c r="J7" s="1" t="s">
        <v>93</v>
      </c>
      <c r="K7" s="1" t="s">
        <v>409</v>
      </c>
      <c r="L7" s="1" t="s">
        <v>124</v>
      </c>
      <c r="M7" s="1" t="s">
        <v>215</v>
      </c>
      <c r="N7" s="1" t="s">
        <v>575</v>
      </c>
      <c r="O7" s="1" t="s">
        <v>119</v>
      </c>
      <c r="P7" s="1" t="s">
        <v>138</v>
      </c>
      <c r="Q7" s="1" t="s">
        <v>365</v>
      </c>
      <c r="R7" s="1" t="s">
        <v>138</v>
      </c>
      <c r="S7" s="1" t="s">
        <v>291</v>
      </c>
      <c r="T7" s="1" t="s">
        <v>190</v>
      </c>
      <c r="U7" s="1" t="s">
        <v>94</v>
      </c>
      <c r="V7" s="1" t="s">
        <v>92</v>
      </c>
      <c r="W7" s="1" t="s">
        <v>119</v>
      </c>
      <c r="X7" s="1" t="s">
        <v>160</v>
      </c>
      <c r="Y7" s="1"/>
      <c r="Z7" s="1" t="s">
        <v>230</v>
      </c>
      <c r="AA7" s="1" t="s">
        <v>411</v>
      </c>
      <c r="AB7" s="1" t="s">
        <v>575</v>
      </c>
      <c r="AC7" s="1" t="s">
        <v>119</v>
      </c>
      <c r="AD7" s="1" t="s">
        <v>220</v>
      </c>
      <c r="AE7" s="1" t="s">
        <v>576</v>
      </c>
      <c r="AF7" s="1" t="s">
        <v>150</v>
      </c>
      <c r="AG7" s="1" t="s">
        <v>189</v>
      </c>
      <c r="AH7" s="1" t="s">
        <v>553</v>
      </c>
      <c r="AI7" s="1" t="s">
        <v>94</v>
      </c>
      <c r="AJ7" s="1" t="s">
        <v>260</v>
      </c>
      <c r="AK7" s="1" t="s">
        <v>175</v>
      </c>
      <c r="AL7" s="1" t="s">
        <v>49</v>
      </c>
      <c r="AM7" s="1" t="s">
        <v>94</v>
      </c>
      <c r="AN7" s="1" t="s">
        <v>119</v>
      </c>
      <c r="AO7" s="1" t="s">
        <v>160</v>
      </c>
    </row>
    <row r="8" spans="1:41" x14ac:dyDescent="0.25">
      <c r="A8" s="1" t="s">
        <v>92</v>
      </c>
      <c r="B8" s="1" t="s">
        <v>92</v>
      </c>
      <c r="C8" s="1" t="s">
        <v>390</v>
      </c>
      <c r="D8" s="1" t="s">
        <v>57</v>
      </c>
      <c r="E8" s="1" t="s">
        <v>126</v>
      </c>
      <c r="F8" s="1" t="s">
        <v>52</v>
      </c>
      <c r="G8" s="1" t="s">
        <v>121</v>
      </c>
      <c r="H8" s="1" t="s">
        <v>66</v>
      </c>
      <c r="I8" s="1" t="s">
        <v>247</v>
      </c>
      <c r="J8" s="1" t="s">
        <v>60</v>
      </c>
      <c r="K8" s="1" t="s">
        <v>577</v>
      </c>
      <c r="L8" s="1" t="s">
        <v>112</v>
      </c>
      <c r="M8" s="1" t="s">
        <v>226</v>
      </c>
      <c r="N8" s="1" t="s">
        <v>543</v>
      </c>
      <c r="O8" s="1" t="s">
        <v>124</v>
      </c>
      <c r="P8" s="1" t="s">
        <v>156</v>
      </c>
      <c r="Q8" s="1" t="s">
        <v>481</v>
      </c>
      <c r="R8" s="1" t="s">
        <v>112</v>
      </c>
      <c r="S8" s="1" t="s">
        <v>269</v>
      </c>
      <c r="T8" s="1" t="s">
        <v>181</v>
      </c>
      <c r="U8" s="1" t="s">
        <v>98</v>
      </c>
      <c r="V8" s="1" t="s">
        <v>78</v>
      </c>
      <c r="W8" s="1" t="s">
        <v>103</v>
      </c>
      <c r="X8" s="1" t="s">
        <v>131</v>
      </c>
      <c r="Y8" s="1"/>
      <c r="Z8" s="1" t="s">
        <v>240</v>
      </c>
      <c r="AA8" s="1" t="s">
        <v>265</v>
      </c>
      <c r="AB8" s="1" t="s">
        <v>578</v>
      </c>
      <c r="AC8" s="1" t="s">
        <v>98</v>
      </c>
      <c r="AD8" s="1" t="s">
        <v>215</v>
      </c>
      <c r="AE8" s="1" t="s">
        <v>579</v>
      </c>
      <c r="AF8" s="1" t="s">
        <v>92</v>
      </c>
      <c r="AG8" s="1" t="s">
        <v>94</v>
      </c>
      <c r="AH8" s="1" t="s">
        <v>447</v>
      </c>
      <c r="AI8" s="1" t="s">
        <v>124</v>
      </c>
      <c r="AJ8" s="1" t="s">
        <v>270</v>
      </c>
      <c r="AK8" s="1" t="s">
        <v>175</v>
      </c>
      <c r="AL8" s="1" t="s">
        <v>85</v>
      </c>
      <c r="AM8" s="1" t="s">
        <v>49</v>
      </c>
      <c r="AN8" s="1" t="s">
        <v>108</v>
      </c>
      <c r="AO8" s="1" t="s">
        <v>150</v>
      </c>
    </row>
    <row r="9" spans="1:41" x14ac:dyDescent="0.25">
      <c r="A9" s="1" t="s">
        <v>94</v>
      </c>
      <c r="B9" s="1" t="s">
        <v>94</v>
      </c>
      <c r="C9" s="1" t="s">
        <v>396</v>
      </c>
      <c r="D9" s="1" t="s">
        <v>57</v>
      </c>
      <c r="E9" s="1" t="s">
        <v>126</v>
      </c>
      <c r="F9" s="1" t="s">
        <v>52</v>
      </c>
      <c r="G9" s="1" t="s">
        <v>66</v>
      </c>
      <c r="H9" s="1" t="s">
        <v>81</v>
      </c>
      <c r="I9" s="1" t="s">
        <v>239</v>
      </c>
      <c r="J9" s="1" t="s">
        <v>404</v>
      </c>
      <c r="K9" s="1" t="s">
        <v>163</v>
      </c>
      <c r="L9" s="1" t="s">
        <v>98</v>
      </c>
      <c r="M9" s="1" t="s">
        <v>208</v>
      </c>
      <c r="N9" s="1" t="s">
        <v>233</v>
      </c>
      <c r="O9" s="1" t="s">
        <v>98</v>
      </c>
      <c r="P9" s="1" t="s">
        <v>108</v>
      </c>
      <c r="Q9" s="1" t="s">
        <v>452</v>
      </c>
      <c r="R9" s="1" t="s">
        <v>98</v>
      </c>
      <c r="S9" s="1" t="s">
        <v>273</v>
      </c>
      <c r="T9" s="1" t="s">
        <v>181</v>
      </c>
      <c r="U9" s="1" t="s">
        <v>92</v>
      </c>
      <c r="V9" s="1" t="s">
        <v>94</v>
      </c>
      <c r="W9" s="1" t="s">
        <v>142</v>
      </c>
      <c r="X9" s="1" t="s">
        <v>124</v>
      </c>
      <c r="Y9" s="1"/>
      <c r="Z9" s="1" t="s">
        <v>230</v>
      </c>
      <c r="AA9" s="1" t="s">
        <v>404</v>
      </c>
      <c r="AB9" s="1" t="s">
        <v>491</v>
      </c>
      <c r="AC9" s="1" t="s">
        <v>103</v>
      </c>
      <c r="AD9" s="1" t="s">
        <v>189</v>
      </c>
      <c r="AE9" s="1" t="s">
        <v>414</v>
      </c>
      <c r="AF9" s="1" t="s">
        <v>103</v>
      </c>
      <c r="AG9" s="1" t="s">
        <v>119</v>
      </c>
      <c r="AH9" s="1" t="s">
        <v>519</v>
      </c>
      <c r="AI9" s="1" t="s">
        <v>78</v>
      </c>
      <c r="AJ9" s="1" t="s">
        <v>239</v>
      </c>
      <c r="AK9" s="1" t="s">
        <v>181</v>
      </c>
      <c r="AL9" s="1" t="s">
        <v>124</v>
      </c>
      <c r="AM9" s="1" t="s">
        <v>70</v>
      </c>
      <c r="AN9" s="1" t="s">
        <v>119</v>
      </c>
      <c r="AO9" s="1" t="s">
        <v>124</v>
      </c>
    </row>
    <row r="10" spans="1:41" x14ac:dyDescent="0.25">
      <c r="A10" s="1" t="s">
        <v>98</v>
      </c>
      <c r="B10" s="1" t="s">
        <v>98</v>
      </c>
      <c r="C10" s="1" t="s">
        <v>99</v>
      </c>
      <c r="D10" s="1"/>
      <c r="E10" s="1" t="s">
        <v>241</v>
      </c>
      <c r="F10" s="1" t="s">
        <v>65</v>
      </c>
      <c r="G10" s="1" t="s">
        <v>59</v>
      </c>
      <c r="H10" s="1" t="s">
        <v>67</v>
      </c>
      <c r="I10" s="1" t="s">
        <v>254</v>
      </c>
      <c r="J10" s="1" t="s">
        <v>387</v>
      </c>
      <c r="K10" s="1" t="s">
        <v>219</v>
      </c>
      <c r="L10" s="1" t="s">
        <v>103</v>
      </c>
      <c r="M10" s="1" t="s">
        <v>204</v>
      </c>
      <c r="N10" s="1" t="s">
        <v>77</v>
      </c>
      <c r="O10" s="1" t="s">
        <v>119</v>
      </c>
      <c r="P10" s="1" t="s">
        <v>165</v>
      </c>
      <c r="Q10" s="1" t="s">
        <v>580</v>
      </c>
      <c r="R10" s="1" t="s">
        <v>98</v>
      </c>
      <c r="S10" s="1" t="s">
        <v>267</v>
      </c>
      <c r="T10" s="1" t="s">
        <v>165</v>
      </c>
      <c r="U10" s="1" t="s">
        <v>48</v>
      </c>
      <c r="V10" s="1" t="s">
        <v>70</v>
      </c>
      <c r="W10" s="1" t="s">
        <v>119</v>
      </c>
      <c r="X10" s="1" t="s">
        <v>160</v>
      </c>
      <c r="Y10" s="1"/>
      <c r="Z10" s="1" t="s">
        <v>254</v>
      </c>
      <c r="AA10" s="1" t="s">
        <v>81</v>
      </c>
      <c r="AB10" s="1" t="s">
        <v>572</v>
      </c>
      <c r="AC10" s="1" t="s">
        <v>138</v>
      </c>
      <c r="AD10" s="1" t="s">
        <v>226</v>
      </c>
      <c r="AE10" s="1" t="s">
        <v>155</v>
      </c>
      <c r="AF10" s="1" t="s">
        <v>138</v>
      </c>
      <c r="AG10" s="1" t="s">
        <v>142</v>
      </c>
      <c r="AH10" s="1" t="s">
        <v>415</v>
      </c>
      <c r="AI10" s="1" t="s">
        <v>85</v>
      </c>
      <c r="AJ10" s="1" t="s">
        <v>244</v>
      </c>
      <c r="AK10" s="1" t="s">
        <v>195</v>
      </c>
      <c r="AL10" s="1" t="s">
        <v>70</v>
      </c>
      <c r="AM10" s="1" t="s">
        <v>49</v>
      </c>
      <c r="AN10" s="1" t="s">
        <v>85</v>
      </c>
      <c r="AO10" s="1" t="s">
        <v>131</v>
      </c>
    </row>
    <row r="11" spans="1:41" x14ac:dyDescent="0.25">
      <c r="A11" s="1" t="s">
        <v>103</v>
      </c>
      <c r="B11" s="1" t="s">
        <v>103</v>
      </c>
      <c r="C11" s="1" t="s">
        <v>406</v>
      </c>
      <c r="D11" s="1"/>
      <c r="E11" s="1" t="s">
        <v>205</v>
      </c>
      <c r="F11" s="1" t="s">
        <v>52</v>
      </c>
      <c r="G11" s="1" t="s">
        <v>134</v>
      </c>
      <c r="H11" s="1" t="s">
        <v>106</v>
      </c>
      <c r="I11" s="1" t="s">
        <v>247</v>
      </c>
      <c r="J11" s="1" t="s">
        <v>391</v>
      </c>
      <c r="K11" s="1" t="s">
        <v>146</v>
      </c>
      <c r="L11" s="1" t="s">
        <v>112</v>
      </c>
      <c r="M11" s="1" t="s">
        <v>200</v>
      </c>
      <c r="N11" s="1" t="s">
        <v>491</v>
      </c>
      <c r="O11" s="1" t="s">
        <v>175</v>
      </c>
      <c r="P11" s="1" t="s">
        <v>190</v>
      </c>
      <c r="Q11" s="1" t="s">
        <v>493</v>
      </c>
      <c r="R11" s="1" t="s">
        <v>103</v>
      </c>
      <c r="S11" s="1" t="s">
        <v>251</v>
      </c>
      <c r="T11" s="1" t="s">
        <v>165</v>
      </c>
      <c r="U11" s="1" t="s">
        <v>49</v>
      </c>
      <c r="V11" s="1" t="s">
        <v>94</v>
      </c>
      <c r="W11" s="1" t="s">
        <v>131</v>
      </c>
      <c r="X11" s="1" t="s">
        <v>131</v>
      </c>
      <c r="Y11" s="1"/>
      <c r="Z11" s="1" t="s">
        <v>262</v>
      </c>
      <c r="AA11" s="1" t="s">
        <v>423</v>
      </c>
      <c r="AB11" s="1" t="s">
        <v>188</v>
      </c>
      <c r="AC11" s="1" t="s">
        <v>103</v>
      </c>
      <c r="AD11" s="1" t="s">
        <v>189</v>
      </c>
      <c r="AE11" s="1" t="s">
        <v>414</v>
      </c>
      <c r="AF11" s="1" t="s">
        <v>119</v>
      </c>
      <c r="AG11" s="1" t="s">
        <v>124</v>
      </c>
      <c r="AH11" s="1" t="s">
        <v>507</v>
      </c>
      <c r="AI11" s="1" t="s">
        <v>98</v>
      </c>
      <c r="AJ11" s="1" t="s">
        <v>247</v>
      </c>
      <c r="AK11" s="1" t="s">
        <v>189</v>
      </c>
      <c r="AL11" s="1" t="s">
        <v>103</v>
      </c>
      <c r="AM11" s="1" t="s">
        <v>49</v>
      </c>
      <c r="AN11" s="1" t="s">
        <v>112</v>
      </c>
      <c r="AO11" s="1" t="s">
        <v>175</v>
      </c>
    </row>
    <row r="12" spans="1:41" x14ac:dyDescent="0.25">
      <c r="A12" s="1" t="s">
        <v>108</v>
      </c>
      <c r="B12" s="1" t="s">
        <v>108</v>
      </c>
      <c r="C12" s="1" t="s">
        <v>410</v>
      </c>
      <c r="D12" s="1" t="s">
        <v>57</v>
      </c>
      <c r="E12" s="1" t="s">
        <v>201</v>
      </c>
      <c r="F12" s="1" t="s">
        <v>52</v>
      </c>
      <c r="G12" s="1" t="s">
        <v>193</v>
      </c>
      <c r="H12" s="1" t="s">
        <v>581</v>
      </c>
      <c r="I12" s="1" t="s">
        <v>262</v>
      </c>
      <c r="J12" s="1" t="s">
        <v>423</v>
      </c>
      <c r="K12" s="1" t="s">
        <v>188</v>
      </c>
      <c r="L12" s="1" t="s">
        <v>103</v>
      </c>
      <c r="M12" s="1" t="s">
        <v>200</v>
      </c>
      <c r="N12" s="1" t="s">
        <v>55</v>
      </c>
      <c r="O12" s="1" t="s">
        <v>150</v>
      </c>
      <c r="P12" s="1" t="s">
        <v>181</v>
      </c>
      <c r="Q12" s="1" t="s">
        <v>398</v>
      </c>
      <c r="R12" s="1" t="s">
        <v>103</v>
      </c>
      <c r="S12" s="1" t="s">
        <v>269</v>
      </c>
      <c r="T12" s="1" t="s">
        <v>195</v>
      </c>
      <c r="U12" s="1" t="s">
        <v>119</v>
      </c>
      <c r="V12" s="1" t="s">
        <v>94</v>
      </c>
      <c r="W12" s="1" t="s">
        <v>138</v>
      </c>
      <c r="X12" s="1" t="s">
        <v>175</v>
      </c>
      <c r="Y12" s="1"/>
      <c r="Z12" s="1" t="s">
        <v>235</v>
      </c>
      <c r="AA12" s="1" t="s">
        <v>301</v>
      </c>
      <c r="AB12" s="1" t="s">
        <v>578</v>
      </c>
      <c r="AC12" s="1" t="s">
        <v>112</v>
      </c>
      <c r="AD12" s="1" t="s">
        <v>247</v>
      </c>
      <c r="AE12" s="1" t="s">
        <v>582</v>
      </c>
      <c r="AF12" s="1" t="s">
        <v>138</v>
      </c>
      <c r="AG12" s="1" t="s">
        <v>175</v>
      </c>
      <c r="AH12" s="1" t="s">
        <v>583</v>
      </c>
      <c r="AI12" s="1" t="s">
        <v>119</v>
      </c>
      <c r="AJ12" s="1" t="s">
        <v>254</v>
      </c>
      <c r="AK12" s="1" t="s">
        <v>171</v>
      </c>
      <c r="AL12" s="1" t="s">
        <v>92</v>
      </c>
      <c r="AM12" s="1" t="s">
        <v>94</v>
      </c>
      <c r="AN12" s="1" t="s">
        <v>165</v>
      </c>
      <c r="AO12" s="1" t="s">
        <v>171</v>
      </c>
    </row>
    <row r="13" spans="1:41" x14ac:dyDescent="0.25">
      <c r="A13" s="1" t="s">
        <v>112</v>
      </c>
      <c r="B13" s="1" t="s">
        <v>112</v>
      </c>
      <c r="C13" s="1" t="s">
        <v>113</v>
      </c>
      <c r="D13" s="1" t="s">
        <v>57</v>
      </c>
      <c r="E13" s="1" t="s">
        <v>201</v>
      </c>
      <c r="F13" s="1" t="s">
        <v>52</v>
      </c>
      <c r="G13" s="1" t="s">
        <v>134</v>
      </c>
      <c r="H13" s="1" t="s">
        <v>72</v>
      </c>
      <c r="I13" s="1" t="s">
        <v>251</v>
      </c>
      <c r="J13" s="1" t="s">
        <v>430</v>
      </c>
      <c r="K13" s="1" t="s">
        <v>219</v>
      </c>
      <c r="L13" s="1" t="s">
        <v>124</v>
      </c>
      <c r="M13" s="1" t="s">
        <v>211</v>
      </c>
      <c r="N13" s="1" t="s">
        <v>392</v>
      </c>
      <c r="O13" s="1" t="s">
        <v>156</v>
      </c>
      <c r="P13" s="1" t="s">
        <v>190</v>
      </c>
      <c r="Q13" s="1" t="s">
        <v>400</v>
      </c>
      <c r="R13" s="1" t="s">
        <v>108</v>
      </c>
      <c r="S13" s="1" t="s">
        <v>284</v>
      </c>
      <c r="T13" s="1" t="s">
        <v>189</v>
      </c>
      <c r="U13" s="1" t="s">
        <v>103</v>
      </c>
      <c r="V13" s="1" t="s">
        <v>112</v>
      </c>
      <c r="W13" s="1" t="s">
        <v>160</v>
      </c>
      <c r="X13" s="1" t="s">
        <v>150</v>
      </c>
      <c r="Y13" s="1"/>
      <c r="Z13" s="1" t="s">
        <v>239</v>
      </c>
      <c r="AA13" s="1" t="s">
        <v>218</v>
      </c>
      <c r="AB13" s="1" t="s">
        <v>584</v>
      </c>
      <c r="AC13" s="1" t="s">
        <v>112</v>
      </c>
      <c r="AD13" s="1" t="s">
        <v>244</v>
      </c>
      <c r="AE13" s="1" t="s">
        <v>502</v>
      </c>
      <c r="AF13" s="1" t="s">
        <v>112</v>
      </c>
      <c r="AG13" s="1" t="s">
        <v>138</v>
      </c>
      <c r="AH13" s="1" t="s">
        <v>398</v>
      </c>
      <c r="AI13" s="1" t="s">
        <v>103</v>
      </c>
      <c r="AJ13" s="1" t="s">
        <v>251</v>
      </c>
      <c r="AK13" s="1" t="s">
        <v>175</v>
      </c>
      <c r="AL13" s="1" t="s">
        <v>124</v>
      </c>
      <c r="AM13" s="1" t="s">
        <v>78</v>
      </c>
      <c r="AN13" s="1" t="s">
        <v>119</v>
      </c>
      <c r="AO13" s="1" t="s">
        <v>156</v>
      </c>
    </row>
    <row r="14" spans="1:41" x14ac:dyDescent="0.25">
      <c r="A14" s="1" t="s">
        <v>119</v>
      </c>
      <c r="B14" s="1" t="s">
        <v>119</v>
      </c>
      <c r="C14" s="1" t="s">
        <v>422</v>
      </c>
      <c r="D14" s="1" t="s">
        <v>57</v>
      </c>
      <c r="E14" s="1" t="s">
        <v>277</v>
      </c>
      <c r="F14" s="1" t="s">
        <v>52</v>
      </c>
      <c r="G14" s="1" t="s">
        <v>329</v>
      </c>
      <c r="H14" s="1" t="s">
        <v>242</v>
      </c>
      <c r="I14" s="1" t="s">
        <v>264</v>
      </c>
      <c r="J14" s="1" t="s">
        <v>265</v>
      </c>
      <c r="K14" s="1" t="s">
        <v>585</v>
      </c>
      <c r="L14" s="1" t="s">
        <v>142</v>
      </c>
      <c r="M14" s="1" t="s">
        <v>235</v>
      </c>
      <c r="N14" s="1" t="s">
        <v>250</v>
      </c>
      <c r="O14" s="1" t="s">
        <v>142</v>
      </c>
      <c r="P14" s="1" t="s">
        <v>171</v>
      </c>
      <c r="Q14" s="1" t="s">
        <v>492</v>
      </c>
      <c r="R14" s="1" t="s">
        <v>112</v>
      </c>
      <c r="S14" s="1" t="s">
        <v>270</v>
      </c>
      <c r="T14" s="1" t="s">
        <v>189</v>
      </c>
      <c r="U14" s="1" t="s">
        <v>85</v>
      </c>
      <c r="V14" s="1" t="s">
        <v>85</v>
      </c>
      <c r="W14" s="1" t="s">
        <v>98</v>
      </c>
      <c r="X14" s="1" t="s">
        <v>138</v>
      </c>
      <c r="Y14" s="1"/>
      <c r="Z14" s="1" t="s">
        <v>235</v>
      </c>
      <c r="AA14" s="1" t="s">
        <v>387</v>
      </c>
      <c r="AB14" s="1" t="s">
        <v>537</v>
      </c>
      <c r="AC14" s="1" t="s">
        <v>103</v>
      </c>
      <c r="AD14" s="1" t="s">
        <v>208</v>
      </c>
      <c r="AE14" s="1" t="s">
        <v>586</v>
      </c>
      <c r="AF14" s="1" t="s">
        <v>131</v>
      </c>
      <c r="AG14" s="1" t="s">
        <v>156</v>
      </c>
      <c r="AH14" s="1" t="s">
        <v>501</v>
      </c>
      <c r="AI14" s="1" t="s">
        <v>98</v>
      </c>
      <c r="AJ14" s="1" t="s">
        <v>251</v>
      </c>
      <c r="AK14" s="1" t="s">
        <v>175</v>
      </c>
      <c r="AL14" s="1" t="s">
        <v>70</v>
      </c>
      <c r="AM14" s="1" t="s">
        <v>85</v>
      </c>
      <c r="AN14" s="1" t="s">
        <v>108</v>
      </c>
      <c r="AO14" s="1" t="s">
        <v>165</v>
      </c>
    </row>
    <row r="15" spans="1:41" x14ac:dyDescent="0.25">
      <c r="A15" s="1" t="s">
        <v>124</v>
      </c>
      <c r="B15" s="1" t="s">
        <v>124</v>
      </c>
      <c r="C15" s="1" t="s">
        <v>587</v>
      </c>
      <c r="D15" s="1"/>
      <c r="E15" s="1" t="s">
        <v>274</v>
      </c>
      <c r="F15" s="1" t="s">
        <v>52</v>
      </c>
      <c r="G15" s="1" t="s">
        <v>88</v>
      </c>
      <c r="H15" s="1" t="s">
        <v>265</v>
      </c>
      <c r="I15" s="1" t="s">
        <v>240</v>
      </c>
      <c r="J15" s="1" t="s">
        <v>73</v>
      </c>
      <c r="K15" s="1" t="s">
        <v>455</v>
      </c>
      <c r="L15" s="1" t="s">
        <v>131</v>
      </c>
      <c r="M15" s="1" t="s">
        <v>235</v>
      </c>
      <c r="N15" s="1" t="s">
        <v>173</v>
      </c>
      <c r="O15" s="1" t="s">
        <v>156</v>
      </c>
      <c r="P15" s="1" t="s">
        <v>189</v>
      </c>
      <c r="Q15" s="1" t="s">
        <v>588</v>
      </c>
      <c r="R15" s="1" t="s">
        <v>119</v>
      </c>
      <c r="S15" s="1" t="s">
        <v>256</v>
      </c>
      <c r="T15" s="1" t="s">
        <v>208</v>
      </c>
      <c r="U15" s="1" t="s">
        <v>108</v>
      </c>
      <c r="V15" s="1" t="s">
        <v>85</v>
      </c>
      <c r="W15" s="1" t="s">
        <v>85</v>
      </c>
      <c r="X15" s="1" t="s">
        <v>138</v>
      </c>
      <c r="Y15" s="1"/>
      <c r="Z15" s="1" t="s">
        <v>247</v>
      </c>
      <c r="AA15" s="1" t="s">
        <v>387</v>
      </c>
      <c r="AB15" s="1" t="s">
        <v>313</v>
      </c>
      <c r="AC15" s="1" t="s">
        <v>98</v>
      </c>
      <c r="AD15" s="1" t="s">
        <v>200</v>
      </c>
      <c r="AE15" s="1" t="s">
        <v>500</v>
      </c>
      <c r="AF15" s="1" t="s">
        <v>70</v>
      </c>
      <c r="AG15" s="1" t="s">
        <v>94</v>
      </c>
      <c r="AH15" s="1" t="s">
        <v>219</v>
      </c>
      <c r="AI15" s="1" t="s">
        <v>103</v>
      </c>
      <c r="AJ15" s="1" t="s">
        <v>264</v>
      </c>
      <c r="AK15" s="1" t="s">
        <v>171</v>
      </c>
      <c r="AL15" s="1" t="s">
        <v>49</v>
      </c>
      <c r="AM15" s="1" t="s">
        <v>78</v>
      </c>
      <c r="AN15" s="1" t="s">
        <v>160</v>
      </c>
      <c r="AO15" s="1" t="s">
        <v>165</v>
      </c>
    </row>
    <row r="16" spans="1:41" x14ac:dyDescent="0.25">
      <c r="A16" s="1" t="s">
        <v>131</v>
      </c>
      <c r="B16" s="1" t="s">
        <v>131</v>
      </c>
      <c r="C16" s="1" t="s">
        <v>429</v>
      </c>
      <c r="D16" s="1"/>
      <c r="E16" s="1" t="s">
        <v>258</v>
      </c>
      <c r="F16" s="1" t="s">
        <v>65</v>
      </c>
      <c r="G16" s="1" t="s">
        <v>53</v>
      </c>
      <c r="H16" s="1" t="s">
        <v>106</v>
      </c>
      <c r="I16" s="1" t="s">
        <v>244</v>
      </c>
      <c r="J16" s="1" t="s">
        <v>303</v>
      </c>
      <c r="K16" s="1" t="s">
        <v>129</v>
      </c>
      <c r="L16" s="1" t="s">
        <v>98</v>
      </c>
      <c r="M16" s="1" t="s">
        <v>200</v>
      </c>
      <c r="N16" s="1" t="s">
        <v>500</v>
      </c>
      <c r="O16" s="1" t="s">
        <v>181</v>
      </c>
      <c r="P16" s="1" t="s">
        <v>215</v>
      </c>
      <c r="Q16" s="1" t="s">
        <v>489</v>
      </c>
      <c r="R16" s="1" t="s">
        <v>112</v>
      </c>
      <c r="S16" s="1" t="s">
        <v>270</v>
      </c>
      <c r="T16" s="1" t="s">
        <v>175</v>
      </c>
      <c r="U16" s="1" t="s">
        <v>85</v>
      </c>
      <c r="V16" s="1" t="s">
        <v>78</v>
      </c>
      <c r="W16" s="1" t="s">
        <v>138</v>
      </c>
      <c r="X16" s="1" t="s">
        <v>171</v>
      </c>
      <c r="Y16" s="1"/>
      <c r="Z16" s="1" t="s">
        <v>256</v>
      </c>
      <c r="AA16" s="1" t="s">
        <v>404</v>
      </c>
      <c r="AB16" s="1" t="s">
        <v>146</v>
      </c>
      <c r="AC16" s="1" t="s">
        <v>112</v>
      </c>
      <c r="AD16" s="1" t="s">
        <v>235</v>
      </c>
      <c r="AE16" s="1" t="s">
        <v>399</v>
      </c>
      <c r="AF16" s="1" t="s">
        <v>131</v>
      </c>
      <c r="AG16" s="1" t="s">
        <v>160</v>
      </c>
      <c r="AH16" s="1" t="s">
        <v>398</v>
      </c>
      <c r="AI16" s="1" t="s">
        <v>78</v>
      </c>
      <c r="AJ16" s="1" t="s">
        <v>211</v>
      </c>
      <c r="AK16" s="1" t="s">
        <v>208</v>
      </c>
      <c r="AL16" s="1" t="s">
        <v>94</v>
      </c>
      <c r="AM16" s="1" t="s">
        <v>49</v>
      </c>
      <c r="AN16" s="1" t="s">
        <v>119</v>
      </c>
      <c r="AO16" s="1" t="s">
        <v>190</v>
      </c>
    </row>
    <row r="17" spans="1:41" x14ac:dyDescent="0.25">
      <c r="A17" s="1" t="s">
        <v>138</v>
      </c>
      <c r="B17" s="1" t="s">
        <v>138</v>
      </c>
      <c r="C17" s="1" t="s">
        <v>589</v>
      </c>
      <c r="D17" s="1" t="s">
        <v>57</v>
      </c>
      <c r="E17" s="1" t="s">
        <v>249</v>
      </c>
      <c r="F17" s="1" t="s">
        <v>52</v>
      </c>
      <c r="G17" s="1" t="s">
        <v>53</v>
      </c>
      <c r="H17" s="1" t="s">
        <v>128</v>
      </c>
      <c r="I17" s="1" t="s">
        <v>247</v>
      </c>
      <c r="J17" s="1" t="s">
        <v>419</v>
      </c>
      <c r="K17" s="1" t="s">
        <v>590</v>
      </c>
      <c r="L17" s="1" t="s">
        <v>156</v>
      </c>
      <c r="M17" s="1" t="s">
        <v>235</v>
      </c>
      <c r="N17" s="1" t="s">
        <v>434</v>
      </c>
      <c r="O17" s="1" t="s">
        <v>112</v>
      </c>
      <c r="P17" s="1" t="s">
        <v>131</v>
      </c>
      <c r="Q17" s="1" t="s">
        <v>464</v>
      </c>
      <c r="R17" s="1" t="s">
        <v>85</v>
      </c>
      <c r="S17" s="1" t="s">
        <v>239</v>
      </c>
      <c r="T17" s="1" t="s">
        <v>184</v>
      </c>
      <c r="U17" s="1" t="s">
        <v>94</v>
      </c>
      <c r="V17" s="1" t="s">
        <v>94</v>
      </c>
      <c r="W17" s="1" t="s">
        <v>103</v>
      </c>
      <c r="X17" s="1" t="s">
        <v>124</v>
      </c>
      <c r="Y17" s="1"/>
      <c r="Z17" s="1" t="s">
        <v>256</v>
      </c>
      <c r="AA17" s="1" t="s">
        <v>404</v>
      </c>
      <c r="AB17" s="1" t="s">
        <v>146</v>
      </c>
      <c r="AC17" s="1" t="s">
        <v>98</v>
      </c>
      <c r="AD17" s="1" t="s">
        <v>195</v>
      </c>
      <c r="AE17" s="1" t="s">
        <v>591</v>
      </c>
      <c r="AF17" s="1" t="s">
        <v>98</v>
      </c>
      <c r="AG17" s="1" t="s">
        <v>112</v>
      </c>
      <c r="AH17" s="1" t="s">
        <v>398</v>
      </c>
      <c r="AI17" s="1" t="s">
        <v>78</v>
      </c>
      <c r="AJ17" s="1" t="s">
        <v>262</v>
      </c>
      <c r="AK17" s="1" t="s">
        <v>190</v>
      </c>
      <c r="AL17" s="1" t="s">
        <v>78</v>
      </c>
      <c r="AM17" s="1" t="s">
        <v>78</v>
      </c>
      <c r="AN17" s="1" t="s">
        <v>124</v>
      </c>
      <c r="AO17" s="1" t="s">
        <v>150</v>
      </c>
    </row>
    <row r="18" spans="1:41" x14ac:dyDescent="0.25">
      <c r="A18" s="1" t="s">
        <v>142</v>
      </c>
      <c r="B18" s="1" t="s">
        <v>142</v>
      </c>
      <c r="C18" s="1" t="s">
        <v>143</v>
      </c>
      <c r="D18" s="1" t="s">
        <v>57</v>
      </c>
      <c r="E18" s="1" t="s">
        <v>205</v>
      </c>
      <c r="F18" s="1" t="s">
        <v>52</v>
      </c>
      <c r="G18" s="1" t="s">
        <v>93</v>
      </c>
      <c r="H18" s="1" t="s">
        <v>301</v>
      </c>
      <c r="I18" s="1" t="s">
        <v>230</v>
      </c>
      <c r="J18" s="1" t="s">
        <v>416</v>
      </c>
      <c r="K18" s="1" t="s">
        <v>592</v>
      </c>
      <c r="L18" s="1" t="s">
        <v>70</v>
      </c>
      <c r="M18" s="1" t="s">
        <v>156</v>
      </c>
      <c r="N18" s="1" t="s">
        <v>593</v>
      </c>
      <c r="O18" s="1" t="s">
        <v>184</v>
      </c>
      <c r="P18" s="1" t="s">
        <v>208</v>
      </c>
      <c r="Q18" s="1" t="s">
        <v>594</v>
      </c>
      <c r="R18" s="1" t="s">
        <v>78</v>
      </c>
      <c r="S18" s="1" t="s">
        <v>251</v>
      </c>
      <c r="T18" s="1" t="s">
        <v>160</v>
      </c>
      <c r="U18" s="1" t="s">
        <v>92</v>
      </c>
      <c r="V18" s="1" t="s">
        <v>70</v>
      </c>
      <c r="W18" s="1" t="s">
        <v>150</v>
      </c>
      <c r="X18" s="1" t="s">
        <v>150</v>
      </c>
      <c r="Y18" s="1"/>
      <c r="Z18" s="1" t="s">
        <v>215</v>
      </c>
      <c r="AA18" s="1" t="s">
        <v>430</v>
      </c>
      <c r="AB18" s="1" t="s">
        <v>74</v>
      </c>
      <c r="AC18" s="1" t="s">
        <v>94</v>
      </c>
      <c r="AD18" s="1" t="s">
        <v>184</v>
      </c>
      <c r="AE18" s="1" t="s">
        <v>237</v>
      </c>
      <c r="AF18" s="1" t="s">
        <v>138</v>
      </c>
      <c r="AG18" s="1" t="s">
        <v>171</v>
      </c>
      <c r="AH18" s="1" t="s">
        <v>489</v>
      </c>
      <c r="AI18" s="1" t="s">
        <v>103</v>
      </c>
      <c r="AJ18" s="1" t="s">
        <v>260</v>
      </c>
      <c r="AK18" s="1" t="s">
        <v>150</v>
      </c>
      <c r="AL18" s="1" t="s">
        <v>94</v>
      </c>
      <c r="AM18" s="1" t="s">
        <v>50</v>
      </c>
      <c r="AN18" s="1" t="s">
        <v>150</v>
      </c>
      <c r="AO18" s="1" t="s">
        <v>195</v>
      </c>
    </row>
    <row r="19" spans="1:41" x14ac:dyDescent="0.25">
      <c r="A19" s="1" t="s">
        <v>150</v>
      </c>
      <c r="B19" s="1" t="s">
        <v>150</v>
      </c>
      <c r="C19" s="1" t="s">
        <v>151</v>
      </c>
      <c r="D19" s="1" t="s">
        <v>57</v>
      </c>
      <c r="E19" s="1" t="s">
        <v>64</v>
      </c>
      <c r="F19" s="1" t="s">
        <v>52</v>
      </c>
      <c r="G19" s="1" t="s">
        <v>106</v>
      </c>
      <c r="H19" s="1" t="s">
        <v>121</v>
      </c>
      <c r="I19" s="1" t="s">
        <v>251</v>
      </c>
      <c r="J19" s="1" t="s">
        <v>404</v>
      </c>
      <c r="K19" s="1" t="s">
        <v>323</v>
      </c>
      <c r="L19" s="1" t="s">
        <v>103</v>
      </c>
      <c r="M19" s="1" t="s">
        <v>211</v>
      </c>
      <c r="N19" s="1" t="s">
        <v>293</v>
      </c>
      <c r="O19" s="1" t="s">
        <v>165</v>
      </c>
      <c r="P19" s="1" t="s">
        <v>195</v>
      </c>
      <c r="Q19" s="1" t="s">
        <v>398</v>
      </c>
      <c r="R19" s="1" t="s">
        <v>131</v>
      </c>
      <c r="S19" s="1" t="s">
        <v>244</v>
      </c>
      <c r="T19" s="1" t="s">
        <v>165</v>
      </c>
      <c r="U19" s="1" t="s">
        <v>92</v>
      </c>
      <c r="V19" s="1" t="s">
        <v>92</v>
      </c>
      <c r="W19" s="1" t="s">
        <v>119</v>
      </c>
      <c r="X19" s="1" t="s">
        <v>175</v>
      </c>
      <c r="Y19" s="1"/>
      <c r="Z19" s="1" t="s">
        <v>244</v>
      </c>
      <c r="AA19" s="1" t="s">
        <v>387</v>
      </c>
      <c r="AB19" s="1" t="s">
        <v>448</v>
      </c>
      <c r="AC19" s="1" t="s">
        <v>98</v>
      </c>
      <c r="AD19" s="1" t="s">
        <v>165</v>
      </c>
      <c r="AE19" s="1" t="s">
        <v>76</v>
      </c>
      <c r="AF19" s="1" t="s">
        <v>156</v>
      </c>
      <c r="AG19" s="1" t="s">
        <v>171</v>
      </c>
      <c r="AH19" s="1" t="s">
        <v>440</v>
      </c>
      <c r="AI19" s="1" t="s">
        <v>131</v>
      </c>
      <c r="AJ19" s="1" t="s">
        <v>256</v>
      </c>
      <c r="AK19" s="1" t="s">
        <v>156</v>
      </c>
      <c r="AL19" s="1" t="s">
        <v>94</v>
      </c>
      <c r="AM19" s="1" t="s">
        <v>49</v>
      </c>
      <c r="AN19" s="1" t="s">
        <v>142</v>
      </c>
      <c r="AO19" s="1" t="s">
        <v>184</v>
      </c>
    </row>
    <row r="20" spans="1:41" x14ac:dyDescent="0.25">
      <c r="A20" s="1" t="s">
        <v>156</v>
      </c>
      <c r="B20" s="1" t="s">
        <v>156</v>
      </c>
      <c r="C20" s="1" t="s">
        <v>157</v>
      </c>
      <c r="D20" s="1" t="s">
        <v>57</v>
      </c>
      <c r="E20" s="1" t="s">
        <v>401</v>
      </c>
      <c r="F20" s="1" t="s">
        <v>65</v>
      </c>
      <c r="G20" s="1" t="s">
        <v>128</v>
      </c>
      <c r="H20" s="1" t="s">
        <v>54</v>
      </c>
      <c r="I20" s="1" t="s">
        <v>247</v>
      </c>
      <c r="J20" s="1" t="s">
        <v>387</v>
      </c>
      <c r="K20" s="1" t="s">
        <v>313</v>
      </c>
      <c r="L20" s="1" t="s">
        <v>94</v>
      </c>
      <c r="M20" s="1" t="s">
        <v>181</v>
      </c>
      <c r="N20" s="1" t="s">
        <v>77</v>
      </c>
      <c r="O20" s="1" t="s">
        <v>138</v>
      </c>
      <c r="P20" s="1" t="s">
        <v>184</v>
      </c>
      <c r="Q20" s="1" t="s">
        <v>595</v>
      </c>
      <c r="R20" s="1" t="s">
        <v>85</v>
      </c>
      <c r="S20" s="1" t="s">
        <v>235</v>
      </c>
      <c r="T20" s="1" t="s">
        <v>160</v>
      </c>
      <c r="U20" s="1" t="s">
        <v>78</v>
      </c>
      <c r="V20" s="1" t="s">
        <v>48</v>
      </c>
      <c r="W20" s="1" t="s">
        <v>108</v>
      </c>
      <c r="X20" s="1" t="s">
        <v>160</v>
      </c>
      <c r="Y20" s="1"/>
      <c r="Z20" s="1" t="s">
        <v>247</v>
      </c>
      <c r="AA20" s="1" t="s">
        <v>411</v>
      </c>
      <c r="AB20" s="1" t="s">
        <v>129</v>
      </c>
      <c r="AC20" s="1" t="s">
        <v>98</v>
      </c>
      <c r="AD20" s="1" t="s">
        <v>184</v>
      </c>
      <c r="AE20" s="1" t="s">
        <v>596</v>
      </c>
      <c r="AF20" s="1" t="s">
        <v>138</v>
      </c>
      <c r="AG20" s="1" t="s">
        <v>189</v>
      </c>
      <c r="AH20" s="1" t="s">
        <v>331</v>
      </c>
      <c r="AI20" s="1" t="s">
        <v>92</v>
      </c>
      <c r="AJ20" s="1" t="s">
        <v>239</v>
      </c>
      <c r="AK20" s="1" t="s">
        <v>181</v>
      </c>
      <c r="AL20" s="1" t="s">
        <v>103</v>
      </c>
      <c r="AM20" s="1" t="s">
        <v>92</v>
      </c>
      <c r="AN20" s="1" t="s">
        <v>108</v>
      </c>
      <c r="AO20" s="1" t="s">
        <v>181</v>
      </c>
    </row>
    <row r="21" spans="1:41" x14ac:dyDescent="0.25">
      <c r="A21" s="1" t="s">
        <v>160</v>
      </c>
      <c r="B21" s="1" t="s">
        <v>160</v>
      </c>
      <c r="C21" s="1" t="s">
        <v>597</v>
      </c>
      <c r="D21" s="1" t="s">
        <v>57</v>
      </c>
      <c r="E21" s="1" t="s">
        <v>144</v>
      </c>
      <c r="F21" s="1" t="s">
        <v>65</v>
      </c>
      <c r="G21" s="1" t="s">
        <v>81</v>
      </c>
      <c r="H21" s="1" t="s">
        <v>54</v>
      </c>
      <c r="I21" s="1" t="s">
        <v>230</v>
      </c>
      <c r="J21" s="1" t="s">
        <v>419</v>
      </c>
      <c r="K21" s="1" t="s">
        <v>556</v>
      </c>
      <c r="L21" s="1" t="s">
        <v>112</v>
      </c>
      <c r="M21" s="1" t="s">
        <v>195</v>
      </c>
      <c r="N21" s="1" t="s">
        <v>76</v>
      </c>
      <c r="O21" s="1" t="s">
        <v>94</v>
      </c>
      <c r="P21" s="1" t="s">
        <v>112</v>
      </c>
      <c r="Q21" s="1" t="s">
        <v>418</v>
      </c>
      <c r="R21" s="1" t="s">
        <v>112</v>
      </c>
      <c r="S21" s="1" t="s">
        <v>256</v>
      </c>
      <c r="T21" s="1" t="s">
        <v>184</v>
      </c>
      <c r="U21" s="1" t="s">
        <v>48</v>
      </c>
      <c r="V21" s="1" t="s">
        <v>49</v>
      </c>
      <c r="W21" s="1" t="s">
        <v>108</v>
      </c>
      <c r="X21" s="1" t="s">
        <v>138</v>
      </c>
      <c r="Y21" s="1"/>
      <c r="Z21" s="1" t="s">
        <v>244</v>
      </c>
      <c r="AA21" s="1" t="s">
        <v>404</v>
      </c>
      <c r="AB21" s="1" t="s">
        <v>111</v>
      </c>
      <c r="AC21" s="1" t="s">
        <v>124</v>
      </c>
      <c r="AD21" s="1" t="s">
        <v>230</v>
      </c>
      <c r="AE21" s="1" t="s">
        <v>397</v>
      </c>
      <c r="AF21" s="1" t="s">
        <v>119</v>
      </c>
      <c r="AG21" s="1" t="s">
        <v>119</v>
      </c>
      <c r="AH21" s="1" t="s">
        <v>470</v>
      </c>
      <c r="AI21" s="1" t="s">
        <v>78</v>
      </c>
      <c r="AJ21" s="1" t="s">
        <v>239</v>
      </c>
      <c r="AK21" s="1" t="s">
        <v>190</v>
      </c>
      <c r="AL21" s="1" t="s">
        <v>70</v>
      </c>
      <c r="AM21" s="1" t="s">
        <v>48</v>
      </c>
      <c r="AN21" s="1" t="s">
        <v>94</v>
      </c>
      <c r="AO21" s="1" t="s">
        <v>150</v>
      </c>
    </row>
    <row r="22" spans="1:41" x14ac:dyDescent="0.25">
      <c r="A22" s="1"/>
      <c r="B22" s="1"/>
      <c r="C22" s="1"/>
      <c r="D22" s="1"/>
      <c r="E22" s="1"/>
      <c r="F22" s="1"/>
      <c r="G22" s="1"/>
      <c r="H22" s="1"/>
      <c r="I22" s="1" t="s">
        <v>1</v>
      </c>
      <c r="J22" s="1" t="s">
        <v>1</v>
      </c>
      <c r="K22" s="1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 t="s">
        <v>1</v>
      </c>
      <c r="Q22" s="1" t="s">
        <v>1</v>
      </c>
      <c r="R22" s="1" t="s">
        <v>1</v>
      </c>
      <c r="S22" s="1" t="s">
        <v>1</v>
      </c>
      <c r="T22" s="1" t="s">
        <v>1</v>
      </c>
      <c r="U22" s="1" t="s">
        <v>1</v>
      </c>
      <c r="V22" s="1" t="s">
        <v>1</v>
      </c>
      <c r="W22" s="1" t="s">
        <v>1</v>
      </c>
      <c r="X22" s="1" t="s">
        <v>1</v>
      </c>
      <c r="Y22" s="1"/>
      <c r="Z22" s="1" t="s">
        <v>701</v>
      </c>
      <c r="AA22" s="1" t="s">
        <v>701</v>
      </c>
      <c r="AB22" s="1" t="s">
        <v>701</v>
      </c>
      <c r="AC22" s="1" t="s">
        <v>701</v>
      </c>
      <c r="AD22" s="1" t="s">
        <v>701</v>
      </c>
      <c r="AE22" s="1" t="s">
        <v>701</v>
      </c>
      <c r="AF22" s="1" t="s">
        <v>701</v>
      </c>
      <c r="AG22" s="1" t="s">
        <v>701</v>
      </c>
      <c r="AH22" s="1" t="s">
        <v>701</v>
      </c>
      <c r="AI22" s="1" t="s">
        <v>701</v>
      </c>
      <c r="AJ22" s="1" t="s">
        <v>701</v>
      </c>
      <c r="AK22" s="1" t="s">
        <v>701</v>
      </c>
      <c r="AL22" s="1" t="s">
        <v>701</v>
      </c>
      <c r="AM22" s="1" t="s">
        <v>701</v>
      </c>
      <c r="AN22" s="1" t="s">
        <v>701</v>
      </c>
      <c r="AO22" s="1" t="s">
        <v>701</v>
      </c>
    </row>
    <row r="23" spans="1:41" x14ac:dyDescent="0.25">
      <c r="A23" s="1" t="s">
        <v>40</v>
      </c>
      <c r="B23" s="1" t="s">
        <v>41</v>
      </c>
      <c r="C23" s="1" t="s">
        <v>42</v>
      </c>
      <c r="D23" s="1" t="s">
        <v>702</v>
      </c>
      <c r="E23" s="1" t="s">
        <v>44</v>
      </c>
      <c r="F23" s="1" t="s">
        <v>45</v>
      </c>
      <c r="G23" s="1" t="s">
        <v>46</v>
      </c>
      <c r="H23" s="1" t="s">
        <v>44</v>
      </c>
      <c r="I23" s="1" t="s">
        <v>703</v>
      </c>
      <c r="J23" s="1" t="s">
        <v>704</v>
      </c>
      <c r="K23" s="1" t="s">
        <v>705</v>
      </c>
      <c r="L23" s="1" t="s">
        <v>706</v>
      </c>
      <c r="M23" s="1" t="s">
        <v>707</v>
      </c>
      <c r="N23" s="1" t="s">
        <v>708</v>
      </c>
      <c r="O23" s="1" t="s">
        <v>709</v>
      </c>
      <c r="P23" s="1" t="s">
        <v>710</v>
      </c>
      <c r="Q23" s="1" t="s">
        <v>711</v>
      </c>
      <c r="R23" s="1" t="s">
        <v>712</v>
      </c>
      <c r="S23" s="1" t="s">
        <v>713</v>
      </c>
      <c r="T23" s="1" t="s">
        <v>714</v>
      </c>
      <c r="U23" s="1" t="s">
        <v>715</v>
      </c>
      <c r="V23" s="1" t="s">
        <v>716</v>
      </c>
      <c r="W23" s="1" t="s">
        <v>717</v>
      </c>
      <c r="X23" s="1" t="s">
        <v>718</v>
      </c>
      <c r="Y23" s="1" t="s">
        <v>702</v>
      </c>
      <c r="Z23" s="1" t="s">
        <v>703</v>
      </c>
      <c r="AA23" s="1" t="s">
        <v>704</v>
      </c>
      <c r="AB23" s="1" t="s">
        <v>705</v>
      </c>
      <c r="AC23" s="1" t="s">
        <v>706</v>
      </c>
      <c r="AD23" s="1" t="s">
        <v>707</v>
      </c>
      <c r="AE23" s="1" t="s">
        <v>708</v>
      </c>
      <c r="AF23" s="1" t="s">
        <v>709</v>
      </c>
      <c r="AG23" s="1" t="s">
        <v>710</v>
      </c>
      <c r="AH23" s="1" t="s">
        <v>711</v>
      </c>
      <c r="AI23" s="1" t="s">
        <v>712</v>
      </c>
      <c r="AJ23" s="1" t="s">
        <v>713</v>
      </c>
      <c r="AK23" s="1" t="s">
        <v>714</v>
      </c>
      <c r="AL23" s="1" t="s">
        <v>715</v>
      </c>
      <c r="AM23" s="1" t="s">
        <v>716</v>
      </c>
      <c r="AN23" s="1" t="s">
        <v>717</v>
      </c>
      <c r="AO23" s="1" t="s">
        <v>718</v>
      </c>
    </row>
    <row r="24" spans="1:41" x14ac:dyDescent="0.25">
      <c r="A24" s="1" t="s">
        <v>165</v>
      </c>
      <c r="B24" s="1" t="s">
        <v>165</v>
      </c>
      <c r="C24" s="1" t="s">
        <v>598</v>
      </c>
      <c r="D24" s="1" t="s">
        <v>57</v>
      </c>
      <c r="E24" s="1" t="s">
        <v>133</v>
      </c>
      <c r="F24" s="1" t="s">
        <v>52</v>
      </c>
      <c r="G24" s="1" t="s">
        <v>245</v>
      </c>
      <c r="H24" s="1" t="s">
        <v>265</v>
      </c>
      <c r="I24" s="1" t="s">
        <v>235</v>
      </c>
      <c r="J24" s="1" t="s">
        <v>430</v>
      </c>
      <c r="K24" s="1" t="s">
        <v>509</v>
      </c>
      <c r="L24" s="1" t="s">
        <v>98</v>
      </c>
      <c r="M24" s="1" t="s">
        <v>208</v>
      </c>
      <c r="N24" s="1" t="s">
        <v>233</v>
      </c>
      <c r="O24" s="1" t="s">
        <v>119</v>
      </c>
      <c r="P24" s="1" t="s">
        <v>156</v>
      </c>
      <c r="Q24" s="1" t="s">
        <v>229</v>
      </c>
      <c r="R24" s="1" t="s">
        <v>119</v>
      </c>
      <c r="S24" s="1" t="s">
        <v>260</v>
      </c>
      <c r="T24" s="1" t="s">
        <v>160</v>
      </c>
      <c r="U24" s="1" t="s">
        <v>94</v>
      </c>
      <c r="V24" s="1" t="s">
        <v>70</v>
      </c>
      <c r="W24" s="1" t="s">
        <v>124</v>
      </c>
      <c r="X24" s="1" t="s">
        <v>131</v>
      </c>
      <c r="Y24" s="1"/>
      <c r="Z24" s="1" t="s">
        <v>244</v>
      </c>
      <c r="AA24" s="1" t="s">
        <v>372</v>
      </c>
      <c r="AB24" s="1" t="s">
        <v>164</v>
      </c>
      <c r="AC24" s="1" t="s">
        <v>85</v>
      </c>
      <c r="AD24" s="1" t="s">
        <v>165</v>
      </c>
      <c r="AE24" s="1" t="s">
        <v>599</v>
      </c>
      <c r="AF24" s="1" t="s">
        <v>98</v>
      </c>
      <c r="AG24" s="1" t="s">
        <v>124</v>
      </c>
      <c r="AH24" s="1" t="s">
        <v>571</v>
      </c>
      <c r="AI24" s="1" t="s">
        <v>98</v>
      </c>
      <c r="AJ24" s="1" t="s">
        <v>251</v>
      </c>
      <c r="AK24" s="1" t="s">
        <v>181</v>
      </c>
      <c r="AL24" s="1" t="s">
        <v>103</v>
      </c>
      <c r="AM24" s="1" t="s">
        <v>85</v>
      </c>
      <c r="AN24" s="1" t="s">
        <v>131</v>
      </c>
      <c r="AO24" s="1" t="s">
        <v>138</v>
      </c>
    </row>
    <row r="25" spans="1:41" x14ac:dyDescent="0.25">
      <c r="A25" s="1" t="s">
        <v>171</v>
      </c>
      <c r="B25" s="1" t="s">
        <v>171</v>
      </c>
      <c r="C25" s="1" t="s">
        <v>600</v>
      </c>
      <c r="D25" s="1" t="s">
        <v>57</v>
      </c>
      <c r="E25" s="1" t="s">
        <v>109</v>
      </c>
      <c r="F25" s="1" t="s">
        <v>52</v>
      </c>
      <c r="G25" s="1" t="s">
        <v>54</v>
      </c>
      <c r="H25" s="1" t="s">
        <v>242</v>
      </c>
      <c r="I25" s="1" t="s">
        <v>244</v>
      </c>
      <c r="J25" s="1" t="s">
        <v>472</v>
      </c>
      <c r="K25" s="1" t="s">
        <v>136</v>
      </c>
      <c r="L25" s="1" t="s">
        <v>92</v>
      </c>
      <c r="M25" s="1" t="s">
        <v>175</v>
      </c>
      <c r="N25" s="1" t="s">
        <v>89</v>
      </c>
      <c r="O25" s="1" t="s">
        <v>160</v>
      </c>
      <c r="P25" s="1" t="s">
        <v>181</v>
      </c>
      <c r="Q25" s="1" t="s">
        <v>412</v>
      </c>
      <c r="R25" s="1" t="s">
        <v>70</v>
      </c>
      <c r="S25" s="1" t="s">
        <v>208</v>
      </c>
      <c r="T25" s="1" t="s">
        <v>181</v>
      </c>
      <c r="U25" s="1" t="s">
        <v>103</v>
      </c>
      <c r="V25" s="1" t="s">
        <v>92</v>
      </c>
      <c r="W25" s="1" t="s">
        <v>108</v>
      </c>
      <c r="X25" s="1" t="s">
        <v>160</v>
      </c>
      <c r="Y25" s="1"/>
      <c r="Z25" s="1" t="s">
        <v>235</v>
      </c>
      <c r="AA25" s="1" t="s">
        <v>427</v>
      </c>
      <c r="AB25" s="1" t="s">
        <v>601</v>
      </c>
      <c r="AC25" s="1" t="s">
        <v>108</v>
      </c>
      <c r="AD25" s="1" t="s">
        <v>200</v>
      </c>
      <c r="AE25" s="1" t="s">
        <v>602</v>
      </c>
      <c r="AF25" s="1" t="s">
        <v>124</v>
      </c>
      <c r="AG25" s="1" t="s">
        <v>142</v>
      </c>
      <c r="AH25" s="1" t="s">
        <v>603</v>
      </c>
      <c r="AI25" s="1" t="s">
        <v>85</v>
      </c>
      <c r="AJ25" s="1" t="s">
        <v>230</v>
      </c>
      <c r="AK25" s="1" t="s">
        <v>190</v>
      </c>
      <c r="AL25" s="1" t="s">
        <v>94</v>
      </c>
      <c r="AM25" s="1" t="s">
        <v>49</v>
      </c>
      <c r="AN25" s="1" t="s">
        <v>142</v>
      </c>
      <c r="AO25" s="1" t="s">
        <v>165</v>
      </c>
    </row>
    <row r="26" spans="1:41" x14ac:dyDescent="0.25">
      <c r="A26" s="1" t="s">
        <v>175</v>
      </c>
      <c r="B26" s="1" t="s">
        <v>175</v>
      </c>
      <c r="C26" s="1" t="s">
        <v>604</v>
      </c>
      <c r="D26" s="1"/>
      <c r="E26" s="1" t="s">
        <v>104</v>
      </c>
      <c r="F26" s="1" t="s">
        <v>52</v>
      </c>
      <c r="G26" s="1" t="s">
        <v>145</v>
      </c>
      <c r="H26" s="1" t="s">
        <v>73</v>
      </c>
      <c r="I26" s="1" t="s">
        <v>262</v>
      </c>
      <c r="J26" s="1" t="s">
        <v>391</v>
      </c>
      <c r="K26" s="1" t="s">
        <v>123</v>
      </c>
      <c r="L26" s="1" t="s">
        <v>94</v>
      </c>
      <c r="M26" s="1" t="s">
        <v>181</v>
      </c>
      <c r="N26" s="1" t="s">
        <v>77</v>
      </c>
      <c r="O26" s="1" t="s">
        <v>124</v>
      </c>
      <c r="P26" s="1" t="s">
        <v>171</v>
      </c>
      <c r="Q26" s="1" t="s">
        <v>463</v>
      </c>
      <c r="R26" s="1" t="s">
        <v>94</v>
      </c>
      <c r="S26" s="1" t="s">
        <v>244</v>
      </c>
      <c r="T26" s="1" t="s">
        <v>200</v>
      </c>
      <c r="U26" s="1" t="s">
        <v>103</v>
      </c>
      <c r="V26" s="1" t="s">
        <v>92</v>
      </c>
      <c r="W26" s="1" t="s">
        <v>138</v>
      </c>
      <c r="X26" s="1" t="s">
        <v>156</v>
      </c>
      <c r="Y26" s="1"/>
      <c r="Z26" s="1" t="s">
        <v>230</v>
      </c>
      <c r="AA26" s="1" t="s">
        <v>81</v>
      </c>
      <c r="AB26" s="1" t="s">
        <v>110</v>
      </c>
      <c r="AC26" s="1" t="s">
        <v>94</v>
      </c>
      <c r="AD26" s="1" t="s">
        <v>195</v>
      </c>
      <c r="AE26" s="1" t="s">
        <v>599</v>
      </c>
      <c r="AF26" s="1" t="s">
        <v>119</v>
      </c>
      <c r="AG26" s="1" t="s">
        <v>131</v>
      </c>
      <c r="AH26" s="1" t="s">
        <v>479</v>
      </c>
      <c r="AI26" s="1" t="s">
        <v>138</v>
      </c>
      <c r="AJ26" s="1" t="s">
        <v>251</v>
      </c>
      <c r="AK26" s="1" t="s">
        <v>156</v>
      </c>
      <c r="AL26" s="1" t="s">
        <v>98</v>
      </c>
      <c r="AM26" s="1" t="s">
        <v>48</v>
      </c>
      <c r="AN26" s="1" t="s">
        <v>131</v>
      </c>
      <c r="AO26" s="1" t="s">
        <v>175</v>
      </c>
    </row>
    <row r="27" spans="1:41" x14ac:dyDescent="0.25">
      <c r="A27" s="1" t="s">
        <v>181</v>
      </c>
      <c r="B27" s="1" t="s">
        <v>181</v>
      </c>
      <c r="C27" s="1" t="s">
        <v>182</v>
      </c>
      <c r="D27" s="1"/>
      <c r="E27" s="1" t="s">
        <v>144</v>
      </c>
      <c r="F27" s="1" t="s">
        <v>52</v>
      </c>
      <c r="G27" s="1" t="s">
        <v>315</v>
      </c>
      <c r="H27" s="1" t="s">
        <v>252</v>
      </c>
      <c r="I27" s="1" t="s">
        <v>272</v>
      </c>
      <c r="J27" s="1" t="s">
        <v>423</v>
      </c>
      <c r="K27" s="1" t="s">
        <v>308</v>
      </c>
      <c r="L27" s="1" t="s">
        <v>98</v>
      </c>
      <c r="M27" s="1" t="s">
        <v>156</v>
      </c>
      <c r="N27" s="1" t="s">
        <v>601</v>
      </c>
      <c r="O27" s="1" t="s">
        <v>181</v>
      </c>
      <c r="P27" s="1" t="s">
        <v>195</v>
      </c>
      <c r="Q27" s="1" t="s">
        <v>389</v>
      </c>
      <c r="R27" s="1" t="s">
        <v>98</v>
      </c>
      <c r="S27" s="1" t="s">
        <v>247</v>
      </c>
      <c r="T27" s="1" t="s">
        <v>211</v>
      </c>
      <c r="U27" s="1" t="s">
        <v>112</v>
      </c>
      <c r="V27" s="1" t="s">
        <v>78</v>
      </c>
      <c r="W27" s="1" t="s">
        <v>175</v>
      </c>
      <c r="X27" s="1" t="s">
        <v>181</v>
      </c>
      <c r="Y27" s="1"/>
      <c r="Z27" s="1" t="s">
        <v>260</v>
      </c>
      <c r="AA27" s="1" t="s">
        <v>66</v>
      </c>
      <c r="AB27" s="1" t="s">
        <v>443</v>
      </c>
      <c r="AC27" s="1" t="s">
        <v>138</v>
      </c>
      <c r="AD27" s="1" t="s">
        <v>251</v>
      </c>
      <c r="AE27" s="1" t="s">
        <v>605</v>
      </c>
      <c r="AF27" s="1" t="s">
        <v>175</v>
      </c>
      <c r="AG27" s="1" t="s">
        <v>195</v>
      </c>
      <c r="AH27" s="1" t="s">
        <v>606</v>
      </c>
      <c r="AI27" s="1" t="s">
        <v>98</v>
      </c>
      <c r="AJ27" s="1" t="s">
        <v>226</v>
      </c>
      <c r="AK27" s="1" t="s">
        <v>208</v>
      </c>
      <c r="AL27" s="1" t="s">
        <v>119</v>
      </c>
      <c r="AM27" s="1" t="s">
        <v>70</v>
      </c>
      <c r="AN27" s="1" t="s">
        <v>160</v>
      </c>
      <c r="AO27" s="1" t="s">
        <v>208</v>
      </c>
    </row>
    <row r="28" spans="1:41" x14ac:dyDescent="0.25">
      <c r="A28" s="1" t="s">
        <v>184</v>
      </c>
      <c r="B28" s="1" t="s">
        <v>184</v>
      </c>
      <c r="C28" s="1" t="s">
        <v>607</v>
      </c>
      <c r="D28" s="1"/>
      <c r="E28" s="1" t="s">
        <v>277</v>
      </c>
      <c r="F28" s="1" t="s">
        <v>52</v>
      </c>
      <c r="G28" s="1" t="s">
        <v>152</v>
      </c>
      <c r="H28" s="1" t="s">
        <v>88</v>
      </c>
      <c r="I28" s="1" t="s">
        <v>256</v>
      </c>
      <c r="J28" s="1" t="s">
        <v>265</v>
      </c>
      <c r="K28" s="1" t="s">
        <v>383</v>
      </c>
      <c r="L28" s="1" t="s">
        <v>98</v>
      </c>
      <c r="M28" s="1" t="s">
        <v>239</v>
      </c>
      <c r="N28" s="1" t="s">
        <v>608</v>
      </c>
      <c r="O28" s="1" t="s">
        <v>171</v>
      </c>
      <c r="P28" s="1" t="s">
        <v>200</v>
      </c>
      <c r="Q28" s="1" t="s">
        <v>379</v>
      </c>
      <c r="R28" s="1" t="s">
        <v>103</v>
      </c>
      <c r="S28" s="1" t="s">
        <v>294</v>
      </c>
      <c r="T28" s="1" t="s">
        <v>195</v>
      </c>
      <c r="U28" s="1" t="s">
        <v>92</v>
      </c>
      <c r="V28" s="1" t="s">
        <v>112</v>
      </c>
      <c r="W28" s="1" t="s">
        <v>131</v>
      </c>
      <c r="X28" s="1" t="s">
        <v>156</v>
      </c>
      <c r="Y28" s="1"/>
      <c r="Z28" s="1" t="s">
        <v>254</v>
      </c>
      <c r="AA28" s="1" t="s">
        <v>140</v>
      </c>
      <c r="AB28" s="1" t="s">
        <v>110</v>
      </c>
      <c r="AC28" s="1" t="s">
        <v>112</v>
      </c>
      <c r="AD28" s="1" t="s">
        <v>239</v>
      </c>
      <c r="AE28" s="1" t="s">
        <v>609</v>
      </c>
      <c r="AF28" s="1" t="s">
        <v>124</v>
      </c>
      <c r="AG28" s="1" t="s">
        <v>156</v>
      </c>
      <c r="AH28" s="1" t="s">
        <v>481</v>
      </c>
      <c r="AI28" s="1" t="s">
        <v>131</v>
      </c>
      <c r="AJ28" s="1" t="s">
        <v>284</v>
      </c>
      <c r="AK28" s="1" t="s">
        <v>175</v>
      </c>
      <c r="AL28" s="1" t="s">
        <v>85</v>
      </c>
      <c r="AM28" s="1" t="s">
        <v>70</v>
      </c>
      <c r="AN28" s="1" t="s">
        <v>112</v>
      </c>
      <c r="AO28" s="1" t="s">
        <v>175</v>
      </c>
    </row>
    <row r="29" spans="1:41" x14ac:dyDescent="0.25">
      <c r="A29" s="1" t="s">
        <v>189</v>
      </c>
      <c r="B29" s="1" t="s">
        <v>189</v>
      </c>
      <c r="C29" s="1" t="s">
        <v>461</v>
      </c>
      <c r="D29" s="1"/>
      <c r="E29" s="1" t="s">
        <v>277</v>
      </c>
      <c r="F29" s="1" t="s">
        <v>52</v>
      </c>
      <c r="G29" s="1" t="s">
        <v>145</v>
      </c>
      <c r="H29" s="1" t="s">
        <v>53</v>
      </c>
      <c r="I29" s="1" t="s">
        <v>251</v>
      </c>
      <c r="J29" s="1" t="s">
        <v>60</v>
      </c>
      <c r="K29" s="1" t="s">
        <v>246</v>
      </c>
      <c r="L29" s="1" t="s">
        <v>103</v>
      </c>
      <c r="M29" s="1" t="s">
        <v>226</v>
      </c>
      <c r="N29" s="1" t="s">
        <v>599</v>
      </c>
      <c r="O29" s="1" t="s">
        <v>160</v>
      </c>
      <c r="P29" s="1" t="s">
        <v>181</v>
      </c>
      <c r="Q29" s="1" t="s">
        <v>412</v>
      </c>
      <c r="R29" s="1" t="s">
        <v>85</v>
      </c>
      <c r="S29" s="1" t="s">
        <v>254</v>
      </c>
      <c r="T29" s="1" t="s">
        <v>171</v>
      </c>
      <c r="U29" s="1" t="s">
        <v>85</v>
      </c>
      <c r="V29" s="1" t="s">
        <v>85</v>
      </c>
      <c r="W29" s="1" t="s">
        <v>138</v>
      </c>
      <c r="X29" s="1" t="s">
        <v>131</v>
      </c>
      <c r="Y29" s="1"/>
      <c r="Z29" s="1" t="s">
        <v>264</v>
      </c>
      <c r="AA29" s="1" t="s">
        <v>72</v>
      </c>
      <c r="AB29" s="1" t="s">
        <v>483</v>
      </c>
      <c r="AC29" s="1" t="s">
        <v>92</v>
      </c>
      <c r="AD29" s="1" t="s">
        <v>208</v>
      </c>
      <c r="AE29" s="1" t="s">
        <v>610</v>
      </c>
      <c r="AF29" s="1" t="s">
        <v>112</v>
      </c>
      <c r="AG29" s="1" t="s">
        <v>124</v>
      </c>
      <c r="AH29" s="1" t="s">
        <v>389</v>
      </c>
      <c r="AI29" s="1" t="s">
        <v>92</v>
      </c>
      <c r="AJ29" s="1" t="s">
        <v>262</v>
      </c>
      <c r="AK29" s="1" t="s">
        <v>211</v>
      </c>
      <c r="AL29" s="1" t="s">
        <v>108</v>
      </c>
      <c r="AM29" s="1" t="s">
        <v>70</v>
      </c>
      <c r="AN29" s="1" t="s">
        <v>119</v>
      </c>
      <c r="AO29" s="1" t="s">
        <v>175</v>
      </c>
    </row>
    <row r="30" spans="1:41" x14ac:dyDescent="0.25">
      <c r="A30" s="1" t="s">
        <v>190</v>
      </c>
      <c r="B30" s="1" t="s">
        <v>190</v>
      </c>
      <c r="C30" s="1" t="s">
        <v>611</v>
      </c>
      <c r="D30" s="1"/>
      <c r="E30" s="1" t="s">
        <v>126</v>
      </c>
      <c r="F30" s="1" t="s">
        <v>52</v>
      </c>
      <c r="G30" s="1" t="s">
        <v>106</v>
      </c>
      <c r="H30" s="1" t="s">
        <v>177</v>
      </c>
      <c r="I30" s="1" t="s">
        <v>254</v>
      </c>
      <c r="J30" s="1" t="s">
        <v>411</v>
      </c>
      <c r="K30" s="1" t="s">
        <v>146</v>
      </c>
      <c r="L30" s="1" t="s">
        <v>85</v>
      </c>
      <c r="M30" s="1" t="s">
        <v>204</v>
      </c>
      <c r="N30" s="1" t="s">
        <v>84</v>
      </c>
      <c r="O30" s="1" t="s">
        <v>175</v>
      </c>
      <c r="P30" s="1" t="s">
        <v>215</v>
      </c>
      <c r="Q30" s="1" t="s">
        <v>612</v>
      </c>
      <c r="R30" s="1" t="s">
        <v>119</v>
      </c>
      <c r="S30" s="1" t="s">
        <v>264</v>
      </c>
      <c r="T30" s="1" t="s">
        <v>189</v>
      </c>
      <c r="U30" s="1" t="s">
        <v>98</v>
      </c>
      <c r="V30" s="1" t="s">
        <v>70</v>
      </c>
      <c r="W30" s="1" t="s">
        <v>150</v>
      </c>
      <c r="X30" s="1" t="s">
        <v>138</v>
      </c>
      <c r="Y30" s="1"/>
      <c r="Z30" s="1" t="s">
        <v>240</v>
      </c>
      <c r="AA30" s="1" t="s">
        <v>459</v>
      </c>
      <c r="AB30" s="1" t="s">
        <v>164</v>
      </c>
      <c r="AC30" s="1" t="s">
        <v>112</v>
      </c>
      <c r="AD30" s="1" t="s">
        <v>200</v>
      </c>
      <c r="AE30" s="1" t="s">
        <v>491</v>
      </c>
      <c r="AF30" s="1" t="s">
        <v>131</v>
      </c>
      <c r="AG30" s="1" t="s">
        <v>156</v>
      </c>
      <c r="AH30" s="1" t="s">
        <v>501</v>
      </c>
      <c r="AI30" s="1" t="s">
        <v>85</v>
      </c>
      <c r="AJ30" s="1" t="s">
        <v>215</v>
      </c>
      <c r="AK30" s="1" t="s">
        <v>208</v>
      </c>
      <c r="AL30" s="1" t="s">
        <v>98</v>
      </c>
      <c r="AM30" s="1" t="s">
        <v>48</v>
      </c>
      <c r="AN30" s="1" t="s">
        <v>142</v>
      </c>
      <c r="AO30" s="1" t="s">
        <v>184</v>
      </c>
    </row>
    <row r="31" spans="1:41" x14ac:dyDescent="0.25">
      <c r="A31" s="1" t="s">
        <v>195</v>
      </c>
      <c r="B31" s="1" t="s">
        <v>195</v>
      </c>
      <c r="C31" s="1" t="s">
        <v>613</v>
      </c>
      <c r="D31" s="1" t="s">
        <v>57</v>
      </c>
      <c r="E31" s="1" t="s">
        <v>104</v>
      </c>
      <c r="F31" s="1" t="s">
        <v>65</v>
      </c>
      <c r="G31" s="1" t="s">
        <v>177</v>
      </c>
      <c r="H31" s="1" t="s">
        <v>100</v>
      </c>
      <c r="I31" s="1" t="s">
        <v>244</v>
      </c>
      <c r="J31" s="1" t="s">
        <v>404</v>
      </c>
      <c r="K31" s="1" t="s">
        <v>111</v>
      </c>
      <c r="L31" s="1" t="s">
        <v>85</v>
      </c>
      <c r="M31" s="1" t="s">
        <v>195</v>
      </c>
      <c r="N31" s="1" t="s">
        <v>614</v>
      </c>
      <c r="O31" s="1" t="s">
        <v>156</v>
      </c>
      <c r="P31" s="1" t="s">
        <v>200</v>
      </c>
      <c r="Q31" s="1" t="s">
        <v>403</v>
      </c>
      <c r="R31" s="1" t="s">
        <v>94</v>
      </c>
      <c r="S31" s="1" t="s">
        <v>262</v>
      </c>
      <c r="T31" s="1" t="s">
        <v>190</v>
      </c>
      <c r="U31" s="1" t="s">
        <v>70</v>
      </c>
      <c r="V31" s="1" t="s">
        <v>70</v>
      </c>
      <c r="W31" s="1" t="s">
        <v>103</v>
      </c>
      <c r="X31" s="1" t="s">
        <v>189</v>
      </c>
      <c r="Y31" s="1"/>
      <c r="Z31" s="1" t="s">
        <v>240</v>
      </c>
      <c r="AA31" s="1" t="s">
        <v>411</v>
      </c>
      <c r="AB31" s="1" t="s">
        <v>250</v>
      </c>
      <c r="AC31" s="1" t="s">
        <v>156</v>
      </c>
      <c r="AD31" s="1" t="s">
        <v>264</v>
      </c>
      <c r="AE31" s="1" t="s">
        <v>278</v>
      </c>
      <c r="AF31" s="1" t="s">
        <v>184</v>
      </c>
      <c r="AG31" s="1" t="s">
        <v>220</v>
      </c>
      <c r="AH31" s="1" t="s">
        <v>395</v>
      </c>
      <c r="AI31" s="1" t="s">
        <v>98</v>
      </c>
      <c r="AJ31" s="1" t="s">
        <v>264</v>
      </c>
      <c r="AK31" s="1" t="s">
        <v>195</v>
      </c>
      <c r="AL31" s="1" t="s">
        <v>85</v>
      </c>
      <c r="AM31" s="1" t="s">
        <v>70</v>
      </c>
      <c r="AN31" s="1" t="s">
        <v>98</v>
      </c>
      <c r="AO31" s="1" t="s">
        <v>181</v>
      </c>
    </row>
    <row r="32" spans="1:41" x14ac:dyDescent="0.25">
      <c r="A32" s="1" t="s">
        <v>200</v>
      </c>
      <c r="B32" s="1" t="s">
        <v>200</v>
      </c>
      <c r="C32" s="1" t="s">
        <v>467</v>
      </c>
      <c r="D32" s="1" t="s">
        <v>57</v>
      </c>
      <c r="E32" s="1" t="s">
        <v>162</v>
      </c>
      <c r="F32" s="1" t="s">
        <v>52</v>
      </c>
      <c r="G32" s="1" t="s">
        <v>88</v>
      </c>
      <c r="H32" s="1" t="s">
        <v>127</v>
      </c>
      <c r="I32" s="1" t="s">
        <v>251</v>
      </c>
      <c r="J32" s="1" t="s">
        <v>472</v>
      </c>
      <c r="K32" s="1" t="s">
        <v>234</v>
      </c>
      <c r="L32" s="1" t="s">
        <v>108</v>
      </c>
      <c r="M32" s="1" t="s">
        <v>189</v>
      </c>
      <c r="N32" s="1" t="s">
        <v>615</v>
      </c>
      <c r="O32" s="1" t="s">
        <v>142</v>
      </c>
      <c r="P32" s="1" t="s">
        <v>165</v>
      </c>
      <c r="Q32" s="1" t="s">
        <v>530</v>
      </c>
      <c r="R32" s="1" t="s">
        <v>85</v>
      </c>
      <c r="S32" s="1" t="s">
        <v>239</v>
      </c>
      <c r="T32" s="1" t="s">
        <v>160</v>
      </c>
      <c r="U32" s="1" t="s">
        <v>94</v>
      </c>
      <c r="V32" s="1" t="s">
        <v>94</v>
      </c>
      <c r="W32" s="1" t="s">
        <v>150</v>
      </c>
      <c r="X32" s="1" t="s">
        <v>124</v>
      </c>
      <c r="Y32" s="1"/>
      <c r="Z32" s="1" t="s">
        <v>240</v>
      </c>
      <c r="AA32" s="1" t="s">
        <v>73</v>
      </c>
      <c r="AB32" s="1" t="s">
        <v>455</v>
      </c>
      <c r="AC32" s="1" t="s">
        <v>138</v>
      </c>
      <c r="AD32" s="1" t="s">
        <v>220</v>
      </c>
      <c r="AE32" s="1" t="s">
        <v>107</v>
      </c>
      <c r="AF32" s="1" t="s">
        <v>103</v>
      </c>
      <c r="AG32" s="1" t="s">
        <v>119</v>
      </c>
      <c r="AH32" s="1" t="s">
        <v>519</v>
      </c>
      <c r="AI32" s="1" t="s">
        <v>108</v>
      </c>
      <c r="AJ32" s="1" t="s">
        <v>239</v>
      </c>
      <c r="AK32" s="1" t="s">
        <v>189</v>
      </c>
      <c r="AL32" s="1" t="s">
        <v>108</v>
      </c>
      <c r="AM32" s="1" t="s">
        <v>70</v>
      </c>
      <c r="AN32" s="1" t="s">
        <v>131</v>
      </c>
      <c r="AO32" s="1" t="s">
        <v>190</v>
      </c>
    </row>
    <row r="33" spans="1:41" x14ac:dyDescent="0.25">
      <c r="A33" s="1" t="s">
        <v>204</v>
      </c>
      <c r="B33" s="1" t="s">
        <v>204</v>
      </c>
      <c r="C33" s="1" t="s">
        <v>471</v>
      </c>
      <c r="D33" s="1"/>
      <c r="E33" s="1" t="s">
        <v>616</v>
      </c>
      <c r="F33" s="1" t="s">
        <v>65</v>
      </c>
      <c r="G33" s="1" t="s">
        <v>259</v>
      </c>
      <c r="H33" s="1" t="s">
        <v>59</v>
      </c>
      <c r="I33" s="1" t="s">
        <v>244</v>
      </c>
      <c r="J33" s="1" t="s">
        <v>303</v>
      </c>
      <c r="K33" s="1" t="s">
        <v>129</v>
      </c>
      <c r="L33" s="1" t="s">
        <v>94</v>
      </c>
      <c r="M33" s="1" t="s">
        <v>204</v>
      </c>
      <c r="N33" s="1" t="s">
        <v>253</v>
      </c>
      <c r="O33" s="1" t="s">
        <v>103</v>
      </c>
      <c r="P33" s="1" t="s">
        <v>124</v>
      </c>
      <c r="Q33" s="1" t="s">
        <v>435</v>
      </c>
      <c r="R33" s="1" t="s">
        <v>103</v>
      </c>
      <c r="S33" s="1" t="s">
        <v>240</v>
      </c>
      <c r="T33" s="1" t="s">
        <v>165</v>
      </c>
      <c r="U33" s="1" t="s">
        <v>92</v>
      </c>
      <c r="V33" s="1" t="s">
        <v>70</v>
      </c>
      <c r="W33" s="1" t="s">
        <v>138</v>
      </c>
      <c r="X33" s="1" t="s">
        <v>138</v>
      </c>
      <c r="Y33" s="1"/>
      <c r="Z33" s="1" t="s">
        <v>239</v>
      </c>
      <c r="AA33" s="1" t="s">
        <v>472</v>
      </c>
      <c r="AB33" s="1" t="s">
        <v>69</v>
      </c>
      <c r="AC33" s="1" t="s">
        <v>150</v>
      </c>
      <c r="AD33" s="1" t="s">
        <v>240</v>
      </c>
      <c r="AE33" s="1" t="s">
        <v>137</v>
      </c>
      <c r="AF33" s="1" t="s">
        <v>131</v>
      </c>
      <c r="AG33" s="1" t="s">
        <v>181</v>
      </c>
      <c r="AH33" s="1" t="s">
        <v>421</v>
      </c>
      <c r="AI33" s="1" t="s">
        <v>94</v>
      </c>
      <c r="AJ33" s="1" t="s">
        <v>240</v>
      </c>
      <c r="AK33" s="1" t="s">
        <v>175</v>
      </c>
      <c r="AL33" s="1" t="s">
        <v>98</v>
      </c>
      <c r="AM33" s="1" t="s">
        <v>49</v>
      </c>
      <c r="AN33" s="1" t="s">
        <v>119</v>
      </c>
      <c r="AO33" s="1" t="s">
        <v>150</v>
      </c>
    </row>
    <row r="34" spans="1:41" x14ac:dyDescent="0.25">
      <c r="A34" s="1" t="s">
        <v>208</v>
      </c>
      <c r="B34" s="1" t="s">
        <v>208</v>
      </c>
      <c r="C34" s="1" t="s">
        <v>617</v>
      </c>
      <c r="D34" s="1"/>
      <c r="E34" s="1" t="s">
        <v>114</v>
      </c>
      <c r="F34" s="1" t="s">
        <v>65</v>
      </c>
      <c r="G34" s="1" t="s">
        <v>66</v>
      </c>
      <c r="H34" s="1" t="s">
        <v>245</v>
      </c>
      <c r="I34" s="1" t="s">
        <v>215</v>
      </c>
      <c r="J34" s="1" t="s">
        <v>430</v>
      </c>
      <c r="K34" s="1" t="s">
        <v>74</v>
      </c>
      <c r="L34" s="1" t="s">
        <v>119</v>
      </c>
      <c r="M34" s="1" t="s">
        <v>260</v>
      </c>
      <c r="N34" s="1" t="s">
        <v>431</v>
      </c>
      <c r="O34" s="1" t="s">
        <v>131</v>
      </c>
      <c r="P34" s="1" t="s">
        <v>142</v>
      </c>
      <c r="Q34" s="1" t="s">
        <v>378</v>
      </c>
      <c r="R34" s="1" t="s">
        <v>85</v>
      </c>
      <c r="S34" s="1" t="s">
        <v>254</v>
      </c>
      <c r="T34" s="1" t="s">
        <v>184</v>
      </c>
      <c r="U34" s="1" t="s">
        <v>78</v>
      </c>
      <c r="V34" s="1" t="s">
        <v>85</v>
      </c>
      <c r="W34" s="1" t="s">
        <v>124</v>
      </c>
      <c r="X34" s="1" t="s">
        <v>142</v>
      </c>
      <c r="Y34" s="1"/>
      <c r="Z34" s="1" t="s">
        <v>230</v>
      </c>
      <c r="AA34" s="1" t="s">
        <v>411</v>
      </c>
      <c r="AB34" s="1" t="s">
        <v>575</v>
      </c>
      <c r="AC34" s="1" t="s">
        <v>94</v>
      </c>
      <c r="AD34" s="1" t="s">
        <v>195</v>
      </c>
      <c r="AE34" s="1" t="s">
        <v>599</v>
      </c>
      <c r="AF34" s="1" t="s">
        <v>138</v>
      </c>
      <c r="AG34" s="1" t="s">
        <v>175</v>
      </c>
      <c r="AH34" s="1" t="s">
        <v>583</v>
      </c>
      <c r="AI34" s="1" t="s">
        <v>103</v>
      </c>
      <c r="AJ34" s="1" t="s">
        <v>269</v>
      </c>
      <c r="AK34" s="1" t="s">
        <v>181</v>
      </c>
      <c r="AL34" s="1" t="s">
        <v>94</v>
      </c>
      <c r="AM34" s="1" t="s">
        <v>49</v>
      </c>
      <c r="AN34" s="1" t="s">
        <v>124</v>
      </c>
      <c r="AO34" s="1" t="s">
        <v>160</v>
      </c>
    </row>
    <row r="35" spans="1:41" x14ac:dyDescent="0.25">
      <c r="A35" s="1" t="s">
        <v>211</v>
      </c>
      <c r="B35" s="1" t="s">
        <v>211</v>
      </c>
      <c r="C35" s="1" t="s">
        <v>618</v>
      </c>
      <c r="D35" s="1"/>
      <c r="E35" s="1" t="s">
        <v>51</v>
      </c>
      <c r="F35" s="1" t="s">
        <v>65</v>
      </c>
      <c r="G35" s="1" t="s">
        <v>183</v>
      </c>
      <c r="H35" s="1" t="s">
        <v>87</v>
      </c>
      <c r="I35" s="1" t="s">
        <v>269</v>
      </c>
      <c r="J35" s="1" t="s">
        <v>127</v>
      </c>
      <c r="K35" s="1" t="s">
        <v>107</v>
      </c>
      <c r="L35" s="1" t="s">
        <v>131</v>
      </c>
      <c r="M35" s="1" t="s">
        <v>256</v>
      </c>
      <c r="N35" s="1" t="s">
        <v>554</v>
      </c>
      <c r="O35" s="1" t="s">
        <v>108</v>
      </c>
      <c r="P35" s="1" t="s">
        <v>142</v>
      </c>
      <c r="Q35" s="1" t="s">
        <v>482</v>
      </c>
      <c r="R35" s="1" t="s">
        <v>112</v>
      </c>
      <c r="S35" s="1" t="s">
        <v>260</v>
      </c>
      <c r="T35" s="1" t="s">
        <v>200</v>
      </c>
      <c r="U35" s="1" t="s">
        <v>98</v>
      </c>
      <c r="V35" s="1" t="s">
        <v>108</v>
      </c>
      <c r="W35" s="1" t="s">
        <v>160</v>
      </c>
      <c r="X35" s="1" t="s">
        <v>200</v>
      </c>
      <c r="Y35" s="1"/>
      <c r="Z35" s="1" t="s">
        <v>264</v>
      </c>
      <c r="AA35" s="1" t="s">
        <v>245</v>
      </c>
      <c r="AB35" s="1" t="s">
        <v>546</v>
      </c>
      <c r="AC35" s="1" t="s">
        <v>98</v>
      </c>
      <c r="AD35" s="1" t="s">
        <v>184</v>
      </c>
      <c r="AE35" s="1" t="s">
        <v>596</v>
      </c>
      <c r="AF35" s="1" t="s">
        <v>181</v>
      </c>
      <c r="AG35" s="1" t="s">
        <v>215</v>
      </c>
      <c r="AH35" s="1" t="s">
        <v>489</v>
      </c>
      <c r="AI35" s="1" t="s">
        <v>78</v>
      </c>
      <c r="AJ35" s="1" t="s">
        <v>269</v>
      </c>
      <c r="AK35" s="1" t="s">
        <v>184</v>
      </c>
      <c r="AL35" s="1" t="s">
        <v>98</v>
      </c>
      <c r="AM35" s="1" t="s">
        <v>70</v>
      </c>
      <c r="AN35" s="1" t="s">
        <v>138</v>
      </c>
      <c r="AO35" s="1" t="s">
        <v>184</v>
      </c>
    </row>
    <row r="36" spans="1:41" x14ac:dyDescent="0.25">
      <c r="A36" s="1" t="s">
        <v>215</v>
      </c>
      <c r="B36" s="1" t="s">
        <v>215</v>
      </c>
      <c r="C36" s="1" t="s">
        <v>619</v>
      </c>
      <c r="D36" s="1" t="s">
        <v>57</v>
      </c>
      <c r="E36" s="1" t="s">
        <v>197</v>
      </c>
      <c r="F36" s="1" t="s">
        <v>65</v>
      </c>
      <c r="G36" s="1" t="s">
        <v>60</v>
      </c>
      <c r="H36" s="1" t="s">
        <v>145</v>
      </c>
      <c r="I36" s="1" t="s">
        <v>220</v>
      </c>
      <c r="J36" s="1" t="s">
        <v>411</v>
      </c>
      <c r="K36" s="1" t="s">
        <v>424</v>
      </c>
      <c r="L36" s="1" t="s">
        <v>94</v>
      </c>
      <c r="M36" s="1" t="s">
        <v>215</v>
      </c>
      <c r="N36" s="1" t="s">
        <v>620</v>
      </c>
      <c r="O36" s="1" t="s">
        <v>119</v>
      </c>
      <c r="P36" s="1" t="s">
        <v>160</v>
      </c>
      <c r="Q36" s="1" t="s">
        <v>524</v>
      </c>
      <c r="R36" s="1" t="s">
        <v>112</v>
      </c>
      <c r="S36" s="1" t="s">
        <v>260</v>
      </c>
      <c r="T36" s="1" t="s">
        <v>142</v>
      </c>
      <c r="U36" s="1" t="s">
        <v>78</v>
      </c>
      <c r="V36" s="1" t="s">
        <v>70</v>
      </c>
      <c r="W36" s="1" t="s">
        <v>124</v>
      </c>
      <c r="X36" s="1" t="s">
        <v>131</v>
      </c>
      <c r="Y36" s="1"/>
      <c r="Z36" s="1" t="s">
        <v>247</v>
      </c>
      <c r="AA36" s="1" t="s">
        <v>404</v>
      </c>
      <c r="AB36" s="1" t="s">
        <v>107</v>
      </c>
      <c r="AC36" s="1" t="s">
        <v>171</v>
      </c>
      <c r="AD36" s="1" t="s">
        <v>267</v>
      </c>
      <c r="AE36" s="1" t="s">
        <v>621</v>
      </c>
      <c r="AF36" s="1" t="s">
        <v>103</v>
      </c>
      <c r="AG36" s="1" t="s">
        <v>131</v>
      </c>
      <c r="AH36" s="1" t="s">
        <v>418</v>
      </c>
      <c r="AI36" s="1" t="s">
        <v>124</v>
      </c>
      <c r="AJ36" s="1" t="s">
        <v>275</v>
      </c>
      <c r="AK36" s="1" t="s">
        <v>195</v>
      </c>
      <c r="AL36" s="1" t="s">
        <v>92</v>
      </c>
      <c r="AM36" s="1" t="s">
        <v>50</v>
      </c>
      <c r="AN36" s="1" t="s">
        <v>112</v>
      </c>
      <c r="AO36" s="1" t="s">
        <v>138</v>
      </c>
    </row>
    <row r="37" spans="1:41" x14ac:dyDescent="0.25">
      <c r="A37" s="1" t="s">
        <v>220</v>
      </c>
      <c r="B37" s="1" t="s">
        <v>220</v>
      </c>
      <c r="C37" s="1" t="s">
        <v>622</v>
      </c>
      <c r="D37" s="1"/>
      <c r="E37" s="1" t="s">
        <v>176</v>
      </c>
      <c r="F37" s="1" t="s">
        <v>52</v>
      </c>
      <c r="G37" s="1" t="s">
        <v>581</v>
      </c>
      <c r="H37" s="1" t="s">
        <v>73</v>
      </c>
      <c r="I37" s="1" t="s">
        <v>235</v>
      </c>
      <c r="J37" s="1" t="s">
        <v>419</v>
      </c>
      <c r="K37" s="1" t="s">
        <v>623</v>
      </c>
      <c r="L37" s="1" t="s">
        <v>92</v>
      </c>
      <c r="M37" s="1" t="s">
        <v>190</v>
      </c>
      <c r="N37" s="1" t="s">
        <v>624</v>
      </c>
      <c r="O37" s="1" t="s">
        <v>165</v>
      </c>
      <c r="P37" s="1" t="s">
        <v>195</v>
      </c>
      <c r="Q37" s="1" t="s">
        <v>398</v>
      </c>
      <c r="R37" s="1" t="s">
        <v>131</v>
      </c>
      <c r="S37" s="1" t="s">
        <v>273</v>
      </c>
      <c r="T37" s="1" t="s">
        <v>184</v>
      </c>
      <c r="U37" s="1" t="s">
        <v>98</v>
      </c>
      <c r="V37" s="1" t="s">
        <v>92</v>
      </c>
      <c r="W37" s="1" t="s">
        <v>98</v>
      </c>
      <c r="X37" s="1" t="s">
        <v>175</v>
      </c>
      <c r="Y37" s="1"/>
      <c r="Z37" s="1" t="s">
        <v>211</v>
      </c>
      <c r="AA37" s="1" t="s">
        <v>303</v>
      </c>
      <c r="AB37" s="1" t="s">
        <v>625</v>
      </c>
      <c r="AC37" s="1" t="s">
        <v>108</v>
      </c>
      <c r="AD37" s="1" t="s">
        <v>235</v>
      </c>
      <c r="AE37" s="1" t="s">
        <v>626</v>
      </c>
      <c r="AF37" s="1" t="s">
        <v>150</v>
      </c>
      <c r="AG37" s="1" t="s">
        <v>160</v>
      </c>
      <c r="AH37" s="1" t="s">
        <v>405</v>
      </c>
      <c r="AI37" s="1" t="s">
        <v>103</v>
      </c>
      <c r="AJ37" s="1" t="s">
        <v>260</v>
      </c>
      <c r="AK37" s="1" t="s">
        <v>156</v>
      </c>
      <c r="AL37" s="1" t="s">
        <v>78</v>
      </c>
      <c r="AM37" s="1" t="s">
        <v>78</v>
      </c>
      <c r="AN37" s="1" t="s">
        <v>131</v>
      </c>
      <c r="AO37" s="1" t="s">
        <v>165</v>
      </c>
    </row>
    <row r="38" spans="1:41" x14ac:dyDescent="0.25">
      <c r="A38" s="1" t="s">
        <v>226</v>
      </c>
      <c r="B38" s="1" t="s">
        <v>226</v>
      </c>
      <c r="C38" s="1" t="s">
        <v>627</v>
      </c>
      <c r="D38" s="1"/>
      <c r="E38" s="1" t="s">
        <v>258</v>
      </c>
      <c r="F38" s="1" t="s">
        <v>52</v>
      </c>
      <c r="G38" s="1" t="s">
        <v>134</v>
      </c>
      <c r="H38" s="1" t="s">
        <v>423</v>
      </c>
      <c r="I38" s="1" t="s">
        <v>244</v>
      </c>
      <c r="J38" s="1" t="s">
        <v>411</v>
      </c>
      <c r="K38" s="1" t="s">
        <v>107</v>
      </c>
      <c r="L38" s="1" t="s">
        <v>108</v>
      </c>
      <c r="M38" s="1" t="s">
        <v>208</v>
      </c>
      <c r="N38" s="1" t="s">
        <v>511</v>
      </c>
      <c r="O38" s="1" t="s">
        <v>189</v>
      </c>
      <c r="P38" s="1" t="s">
        <v>239</v>
      </c>
      <c r="Q38" s="1" t="s">
        <v>229</v>
      </c>
      <c r="R38" s="1" t="s">
        <v>124</v>
      </c>
      <c r="S38" s="1" t="s">
        <v>295</v>
      </c>
      <c r="T38" s="1" t="s">
        <v>171</v>
      </c>
      <c r="U38" s="1" t="s">
        <v>124</v>
      </c>
      <c r="V38" s="1" t="s">
        <v>85</v>
      </c>
      <c r="W38" s="1" t="s">
        <v>156</v>
      </c>
      <c r="X38" s="1" t="s">
        <v>165</v>
      </c>
      <c r="Y38" s="1"/>
      <c r="Z38" s="1" t="s">
        <v>226</v>
      </c>
      <c r="AA38" s="1" t="s">
        <v>387</v>
      </c>
      <c r="AB38" s="1" t="s">
        <v>97</v>
      </c>
      <c r="AC38" s="1" t="s">
        <v>94</v>
      </c>
      <c r="AD38" s="1" t="s">
        <v>220</v>
      </c>
      <c r="AE38" s="1" t="s">
        <v>628</v>
      </c>
      <c r="AF38" s="1" t="s">
        <v>119</v>
      </c>
      <c r="AG38" s="1" t="s">
        <v>156</v>
      </c>
      <c r="AH38" s="1" t="s">
        <v>229</v>
      </c>
      <c r="AI38" s="1" t="s">
        <v>49</v>
      </c>
      <c r="AJ38" s="1" t="s">
        <v>226</v>
      </c>
      <c r="AK38" s="1" t="s">
        <v>189</v>
      </c>
      <c r="AL38" s="1" t="s">
        <v>103</v>
      </c>
      <c r="AM38" s="1" t="s">
        <v>70</v>
      </c>
      <c r="AN38" s="1" t="s">
        <v>160</v>
      </c>
      <c r="AO38" s="1" t="s">
        <v>184</v>
      </c>
    </row>
    <row r="39" spans="1:41" x14ac:dyDescent="0.25">
      <c r="A39" s="1" t="s">
        <v>230</v>
      </c>
      <c r="B39" s="1" t="s">
        <v>230</v>
      </c>
      <c r="C39" s="1" t="s">
        <v>629</v>
      </c>
      <c r="D39" s="1"/>
      <c r="E39" s="1" t="s">
        <v>192</v>
      </c>
      <c r="F39" s="1" t="s">
        <v>65</v>
      </c>
      <c r="G39" s="1" t="s">
        <v>127</v>
      </c>
      <c r="H39" s="1" t="s">
        <v>145</v>
      </c>
      <c r="I39" s="1" t="s">
        <v>244</v>
      </c>
      <c r="J39" s="1" t="s">
        <v>416</v>
      </c>
      <c r="K39" s="1" t="s">
        <v>146</v>
      </c>
      <c r="L39" s="1" t="s">
        <v>108</v>
      </c>
      <c r="M39" s="1" t="s">
        <v>208</v>
      </c>
      <c r="N39" s="1" t="s">
        <v>511</v>
      </c>
      <c r="O39" s="1" t="s">
        <v>119</v>
      </c>
      <c r="P39" s="1" t="s">
        <v>142</v>
      </c>
      <c r="Q39" s="1" t="s">
        <v>484</v>
      </c>
      <c r="R39" s="1" t="s">
        <v>78</v>
      </c>
      <c r="S39" s="1" t="s">
        <v>220</v>
      </c>
      <c r="T39" s="1" t="s">
        <v>150</v>
      </c>
      <c r="U39" s="1" t="s">
        <v>85</v>
      </c>
      <c r="V39" s="1" t="s">
        <v>94</v>
      </c>
      <c r="W39" s="1" t="s">
        <v>112</v>
      </c>
      <c r="X39" s="1" t="s">
        <v>175</v>
      </c>
      <c r="Y39" s="1"/>
      <c r="Z39" s="1" t="s">
        <v>239</v>
      </c>
      <c r="AA39" s="1" t="s">
        <v>472</v>
      </c>
      <c r="AB39" s="1" t="s">
        <v>69</v>
      </c>
      <c r="AC39" s="1" t="s">
        <v>138</v>
      </c>
      <c r="AD39" s="1" t="s">
        <v>200</v>
      </c>
      <c r="AE39" s="1" t="s">
        <v>630</v>
      </c>
      <c r="AF39" s="1" t="s">
        <v>171</v>
      </c>
      <c r="AG39" s="1" t="s">
        <v>184</v>
      </c>
      <c r="AH39" s="1" t="s">
        <v>428</v>
      </c>
      <c r="AI39" s="1" t="s">
        <v>78</v>
      </c>
      <c r="AJ39" s="1" t="s">
        <v>226</v>
      </c>
      <c r="AK39" s="1" t="s">
        <v>204</v>
      </c>
      <c r="AL39" s="1" t="s">
        <v>78</v>
      </c>
      <c r="AM39" s="1" t="s">
        <v>92</v>
      </c>
      <c r="AN39" s="1" t="s">
        <v>119</v>
      </c>
      <c r="AO39" s="1" t="s">
        <v>138</v>
      </c>
    </row>
    <row r="40" spans="1:41" x14ac:dyDescent="0.25">
      <c r="A40" s="1" t="s">
        <v>235</v>
      </c>
      <c r="B40" s="1" t="s">
        <v>235</v>
      </c>
      <c r="C40" s="1" t="s">
        <v>231</v>
      </c>
      <c r="D40" s="1" t="s">
        <v>57</v>
      </c>
      <c r="E40" s="1" t="s">
        <v>186</v>
      </c>
      <c r="F40" s="1" t="s">
        <v>65</v>
      </c>
      <c r="G40" s="1" t="s">
        <v>193</v>
      </c>
      <c r="H40" s="1" t="s">
        <v>198</v>
      </c>
      <c r="I40" s="1" t="s">
        <v>269</v>
      </c>
      <c r="J40" s="1" t="s">
        <v>73</v>
      </c>
      <c r="K40" s="1" t="s">
        <v>631</v>
      </c>
      <c r="L40" s="1" t="s">
        <v>112</v>
      </c>
      <c r="M40" s="1" t="s">
        <v>190</v>
      </c>
      <c r="N40" s="1" t="s">
        <v>476</v>
      </c>
      <c r="O40" s="1" t="s">
        <v>103</v>
      </c>
      <c r="P40" s="1" t="s">
        <v>124</v>
      </c>
      <c r="Q40" s="1" t="s">
        <v>435</v>
      </c>
      <c r="R40" s="1" t="s">
        <v>131</v>
      </c>
      <c r="S40" s="1" t="s">
        <v>247</v>
      </c>
      <c r="T40" s="1" t="s">
        <v>190</v>
      </c>
      <c r="U40" s="1" t="s">
        <v>92</v>
      </c>
      <c r="V40" s="1" t="s">
        <v>49</v>
      </c>
      <c r="W40" s="1" t="s">
        <v>108</v>
      </c>
      <c r="X40" s="1" t="s">
        <v>156</v>
      </c>
      <c r="Y40" s="1"/>
      <c r="Z40" s="1" t="s">
        <v>267</v>
      </c>
      <c r="AA40" s="1" t="s">
        <v>459</v>
      </c>
      <c r="AB40" s="1" t="s">
        <v>561</v>
      </c>
      <c r="AC40" s="1" t="s">
        <v>112</v>
      </c>
      <c r="AD40" s="1" t="s">
        <v>184</v>
      </c>
      <c r="AE40" s="1" t="s">
        <v>632</v>
      </c>
      <c r="AF40" s="1" t="s">
        <v>131</v>
      </c>
      <c r="AG40" s="1" t="s">
        <v>156</v>
      </c>
      <c r="AH40" s="1" t="s">
        <v>501</v>
      </c>
      <c r="AI40" s="1" t="s">
        <v>85</v>
      </c>
      <c r="AJ40" s="1" t="s">
        <v>204</v>
      </c>
      <c r="AK40" s="1" t="s">
        <v>211</v>
      </c>
      <c r="AL40" s="1" t="s">
        <v>78</v>
      </c>
      <c r="AM40" s="1" t="s">
        <v>50</v>
      </c>
      <c r="AN40" s="1" t="s">
        <v>119</v>
      </c>
      <c r="AO40" s="1" t="s">
        <v>156</v>
      </c>
    </row>
    <row r="41" spans="1:41" x14ac:dyDescent="0.25">
      <c r="A41" s="1" t="s">
        <v>239</v>
      </c>
      <c r="B41" s="1" t="s">
        <v>239</v>
      </c>
      <c r="C41" s="1" t="s">
        <v>633</v>
      </c>
      <c r="D41" s="1"/>
      <c r="E41" s="1" t="s">
        <v>167</v>
      </c>
      <c r="F41" s="1" t="s">
        <v>52</v>
      </c>
      <c r="G41" s="1" t="s">
        <v>177</v>
      </c>
      <c r="H41" s="1" t="s">
        <v>72</v>
      </c>
      <c r="I41" s="1" t="s">
        <v>220</v>
      </c>
      <c r="J41" s="1" t="s">
        <v>370</v>
      </c>
      <c r="K41" s="1" t="s">
        <v>243</v>
      </c>
      <c r="L41" s="1" t="s">
        <v>92</v>
      </c>
      <c r="M41" s="1" t="s">
        <v>171</v>
      </c>
      <c r="N41" s="1" t="s">
        <v>480</v>
      </c>
      <c r="O41" s="1" t="s">
        <v>204</v>
      </c>
      <c r="P41" s="1" t="s">
        <v>240</v>
      </c>
      <c r="Q41" s="1" t="s">
        <v>519</v>
      </c>
      <c r="R41" s="1" t="s">
        <v>85</v>
      </c>
      <c r="S41" s="1" t="s">
        <v>256</v>
      </c>
      <c r="T41" s="1" t="s">
        <v>160</v>
      </c>
      <c r="U41" s="1" t="s">
        <v>103</v>
      </c>
      <c r="V41" s="1" t="s">
        <v>78</v>
      </c>
      <c r="W41" s="1" t="s">
        <v>131</v>
      </c>
      <c r="X41" s="1" t="s">
        <v>160</v>
      </c>
      <c r="Y41" s="1"/>
      <c r="Z41" s="1" t="s">
        <v>235</v>
      </c>
      <c r="AA41" s="1" t="s">
        <v>419</v>
      </c>
      <c r="AB41" s="1" t="s">
        <v>623</v>
      </c>
      <c r="AC41" s="1" t="s">
        <v>94</v>
      </c>
      <c r="AD41" s="1" t="s">
        <v>230</v>
      </c>
      <c r="AE41" s="1" t="s">
        <v>488</v>
      </c>
      <c r="AF41" s="1" t="s">
        <v>150</v>
      </c>
      <c r="AG41" s="1" t="s">
        <v>165</v>
      </c>
      <c r="AH41" s="1" t="s">
        <v>389</v>
      </c>
      <c r="AI41" s="1" t="s">
        <v>103</v>
      </c>
      <c r="AJ41" s="1" t="s">
        <v>256</v>
      </c>
      <c r="AK41" s="1" t="s">
        <v>171</v>
      </c>
      <c r="AL41" s="1" t="s">
        <v>92</v>
      </c>
      <c r="AM41" s="1" t="s">
        <v>70</v>
      </c>
      <c r="AN41" s="1" t="s">
        <v>138</v>
      </c>
      <c r="AO41" s="1" t="s">
        <v>190</v>
      </c>
    </row>
    <row r="42" spans="1:41" x14ac:dyDescent="0.25">
      <c r="A42" s="1" t="s">
        <v>240</v>
      </c>
      <c r="B42" s="1" t="s">
        <v>240</v>
      </c>
      <c r="C42" s="1" t="s">
        <v>490</v>
      </c>
      <c r="D42" s="1" t="s">
        <v>57</v>
      </c>
      <c r="E42" s="1" t="s">
        <v>258</v>
      </c>
      <c r="F42" s="1" t="s">
        <v>52</v>
      </c>
      <c r="G42" s="1" t="s">
        <v>329</v>
      </c>
      <c r="H42" s="1" t="s">
        <v>218</v>
      </c>
      <c r="I42" s="1" t="s">
        <v>269</v>
      </c>
      <c r="J42" s="1" t="s">
        <v>427</v>
      </c>
      <c r="K42" s="1" t="s">
        <v>634</v>
      </c>
      <c r="L42" s="1" t="s">
        <v>108</v>
      </c>
      <c r="M42" s="1" t="s">
        <v>190</v>
      </c>
      <c r="N42" s="1" t="s">
        <v>97</v>
      </c>
      <c r="O42" s="1" t="s">
        <v>156</v>
      </c>
      <c r="P42" s="1" t="s">
        <v>184</v>
      </c>
      <c r="Q42" s="1" t="s">
        <v>555</v>
      </c>
      <c r="R42" s="1" t="s">
        <v>92</v>
      </c>
      <c r="S42" s="1" t="s">
        <v>262</v>
      </c>
      <c r="T42" s="1" t="s">
        <v>230</v>
      </c>
      <c r="U42" s="1" t="s">
        <v>98</v>
      </c>
      <c r="V42" s="1" t="s">
        <v>49</v>
      </c>
      <c r="W42" s="1" t="s">
        <v>156</v>
      </c>
      <c r="X42" s="1" t="s">
        <v>184</v>
      </c>
      <c r="Y42" s="1"/>
      <c r="Z42" s="1" t="s">
        <v>220</v>
      </c>
      <c r="AA42" s="1" t="s">
        <v>416</v>
      </c>
      <c r="AB42" s="1" t="s">
        <v>537</v>
      </c>
      <c r="AC42" s="1" t="s">
        <v>119</v>
      </c>
      <c r="AD42" s="1" t="s">
        <v>235</v>
      </c>
      <c r="AE42" s="1" t="s">
        <v>551</v>
      </c>
      <c r="AF42" s="1" t="s">
        <v>138</v>
      </c>
      <c r="AG42" s="1" t="s">
        <v>181</v>
      </c>
      <c r="AH42" s="1" t="s">
        <v>418</v>
      </c>
      <c r="AI42" s="1" t="s">
        <v>98</v>
      </c>
      <c r="AJ42" s="1" t="s">
        <v>204</v>
      </c>
      <c r="AK42" s="1" t="s">
        <v>181</v>
      </c>
      <c r="AL42" s="1" t="s">
        <v>98</v>
      </c>
      <c r="AM42" s="1" t="s">
        <v>48</v>
      </c>
      <c r="AN42" s="1" t="s">
        <v>171</v>
      </c>
      <c r="AO42" s="1" t="s">
        <v>175</v>
      </c>
    </row>
    <row r="43" spans="1:41" x14ac:dyDescent="0.25">
      <c r="A43" s="1" t="s">
        <v>244</v>
      </c>
      <c r="B43" s="1" t="s">
        <v>244</v>
      </c>
      <c r="C43" s="1" t="s">
        <v>635</v>
      </c>
      <c r="D43" s="1"/>
      <c r="E43" s="1" t="s">
        <v>162</v>
      </c>
      <c r="F43" s="1" t="s">
        <v>52</v>
      </c>
      <c r="G43" s="1" t="s">
        <v>636</v>
      </c>
      <c r="H43" s="1" t="s">
        <v>178</v>
      </c>
      <c r="I43" s="1" t="s">
        <v>270</v>
      </c>
      <c r="J43" s="1" t="s">
        <v>404</v>
      </c>
      <c r="K43" s="1" t="s">
        <v>637</v>
      </c>
      <c r="L43" s="1" t="s">
        <v>119</v>
      </c>
      <c r="M43" s="1" t="s">
        <v>189</v>
      </c>
      <c r="N43" s="1" t="s">
        <v>219</v>
      </c>
      <c r="O43" s="1" t="s">
        <v>181</v>
      </c>
      <c r="P43" s="1" t="s">
        <v>195</v>
      </c>
      <c r="Q43" s="1" t="s">
        <v>389</v>
      </c>
      <c r="R43" s="1" t="s">
        <v>103</v>
      </c>
      <c r="S43" s="1" t="s">
        <v>254</v>
      </c>
      <c r="T43" s="1" t="s">
        <v>235</v>
      </c>
      <c r="U43" s="1" t="s">
        <v>49</v>
      </c>
      <c r="V43" s="1" t="s">
        <v>49</v>
      </c>
      <c r="W43" s="1" t="s">
        <v>119</v>
      </c>
      <c r="X43" s="1" t="s">
        <v>138</v>
      </c>
      <c r="Y43" s="1"/>
      <c r="Z43" s="1" t="s">
        <v>264</v>
      </c>
      <c r="AA43" s="1" t="s">
        <v>301</v>
      </c>
      <c r="AB43" s="1" t="s">
        <v>638</v>
      </c>
      <c r="AC43" s="1" t="s">
        <v>108</v>
      </c>
      <c r="AD43" s="1" t="s">
        <v>226</v>
      </c>
      <c r="AE43" s="1" t="s">
        <v>639</v>
      </c>
      <c r="AF43" s="1" t="s">
        <v>138</v>
      </c>
      <c r="AG43" s="1" t="s">
        <v>171</v>
      </c>
      <c r="AH43" s="1" t="s">
        <v>489</v>
      </c>
      <c r="AI43" s="1" t="s">
        <v>94</v>
      </c>
      <c r="AJ43" s="1" t="s">
        <v>220</v>
      </c>
      <c r="AK43" s="1" t="s">
        <v>195</v>
      </c>
      <c r="AL43" s="1" t="s">
        <v>98</v>
      </c>
      <c r="AM43" s="1" t="s">
        <v>85</v>
      </c>
      <c r="AN43" s="1" t="s">
        <v>112</v>
      </c>
      <c r="AO43" s="1" t="s">
        <v>165</v>
      </c>
    </row>
    <row r="44" spans="1:41" x14ac:dyDescent="0.25">
      <c r="A44" s="1"/>
      <c r="B44" s="1"/>
      <c r="C44" s="1"/>
      <c r="D44" s="1"/>
      <c r="E44" s="1"/>
      <c r="F44" s="1"/>
      <c r="G44" s="1"/>
      <c r="H44" s="1"/>
      <c r="I44" s="1" t="s">
        <v>1</v>
      </c>
      <c r="J44" s="1" t="s">
        <v>1</v>
      </c>
      <c r="K44" s="1" t="s">
        <v>1</v>
      </c>
      <c r="L44" s="1" t="s">
        <v>1</v>
      </c>
      <c r="M44" s="1" t="s">
        <v>1</v>
      </c>
      <c r="N44" s="1" t="s">
        <v>1</v>
      </c>
      <c r="O44" s="1" t="s">
        <v>1</v>
      </c>
      <c r="P44" s="1" t="s">
        <v>1</v>
      </c>
      <c r="Q44" s="1" t="s">
        <v>1</v>
      </c>
      <c r="R44" s="1" t="s">
        <v>1</v>
      </c>
      <c r="S44" s="1" t="s">
        <v>1</v>
      </c>
      <c r="T44" s="1" t="s">
        <v>1</v>
      </c>
      <c r="U44" s="1" t="s">
        <v>1</v>
      </c>
      <c r="V44" s="1" t="s">
        <v>1</v>
      </c>
      <c r="W44" s="1" t="s">
        <v>1</v>
      </c>
      <c r="X44" s="1" t="s">
        <v>1</v>
      </c>
      <c r="Y44" s="1"/>
      <c r="Z44" s="1" t="s">
        <v>701</v>
      </c>
      <c r="AA44" s="1" t="s">
        <v>701</v>
      </c>
      <c r="AB44" s="1" t="s">
        <v>701</v>
      </c>
      <c r="AC44" s="1" t="s">
        <v>701</v>
      </c>
      <c r="AD44" s="1" t="s">
        <v>701</v>
      </c>
      <c r="AE44" s="1" t="s">
        <v>701</v>
      </c>
      <c r="AF44" s="1" t="s">
        <v>701</v>
      </c>
      <c r="AG44" s="1" t="s">
        <v>701</v>
      </c>
      <c r="AH44" s="1" t="s">
        <v>701</v>
      </c>
      <c r="AI44" s="1" t="s">
        <v>701</v>
      </c>
      <c r="AJ44" s="1" t="s">
        <v>701</v>
      </c>
      <c r="AK44" s="1" t="s">
        <v>701</v>
      </c>
      <c r="AL44" s="1" t="s">
        <v>701</v>
      </c>
      <c r="AM44" s="1" t="s">
        <v>701</v>
      </c>
      <c r="AN44" s="1" t="s">
        <v>701</v>
      </c>
      <c r="AO44" s="1" t="s">
        <v>701</v>
      </c>
    </row>
    <row r="45" spans="1:41" x14ac:dyDescent="0.25">
      <c r="A45" s="1" t="s">
        <v>40</v>
      </c>
      <c r="B45" s="1" t="s">
        <v>41</v>
      </c>
      <c r="C45" s="1" t="s">
        <v>42</v>
      </c>
      <c r="D45" s="1" t="s">
        <v>702</v>
      </c>
      <c r="E45" s="1" t="s">
        <v>44</v>
      </c>
      <c r="F45" s="1" t="s">
        <v>45</v>
      </c>
      <c r="G45" s="1" t="s">
        <v>46</v>
      </c>
      <c r="H45" s="1" t="s">
        <v>44</v>
      </c>
      <c r="I45" s="1" t="s">
        <v>703</v>
      </c>
      <c r="J45" s="1" t="s">
        <v>704</v>
      </c>
      <c r="K45" s="1" t="s">
        <v>705</v>
      </c>
      <c r="L45" s="1" t="s">
        <v>706</v>
      </c>
      <c r="M45" s="1" t="s">
        <v>707</v>
      </c>
      <c r="N45" s="1" t="s">
        <v>708</v>
      </c>
      <c r="O45" s="1" t="s">
        <v>709</v>
      </c>
      <c r="P45" s="1" t="s">
        <v>710</v>
      </c>
      <c r="Q45" s="1" t="s">
        <v>711</v>
      </c>
      <c r="R45" s="1" t="s">
        <v>712</v>
      </c>
      <c r="S45" s="1" t="s">
        <v>713</v>
      </c>
      <c r="T45" s="1" t="s">
        <v>714</v>
      </c>
      <c r="U45" s="1" t="s">
        <v>715</v>
      </c>
      <c r="V45" s="1" t="s">
        <v>716</v>
      </c>
      <c r="W45" s="1" t="s">
        <v>717</v>
      </c>
      <c r="X45" s="1" t="s">
        <v>718</v>
      </c>
      <c r="Y45" s="1" t="s">
        <v>702</v>
      </c>
      <c r="Z45" s="1" t="s">
        <v>703</v>
      </c>
      <c r="AA45" s="1" t="s">
        <v>704</v>
      </c>
      <c r="AB45" s="1" t="s">
        <v>705</v>
      </c>
      <c r="AC45" s="1" t="s">
        <v>706</v>
      </c>
      <c r="AD45" s="1" t="s">
        <v>707</v>
      </c>
      <c r="AE45" s="1" t="s">
        <v>708</v>
      </c>
      <c r="AF45" s="1" t="s">
        <v>709</v>
      </c>
      <c r="AG45" s="1" t="s">
        <v>710</v>
      </c>
      <c r="AH45" s="1" t="s">
        <v>711</v>
      </c>
      <c r="AI45" s="1" t="s">
        <v>712</v>
      </c>
      <c r="AJ45" s="1" t="s">
        <v>713</v>
      </c>
      <c r="AK45" s="1" t="s">
        <v>714</v>
      </c>
      <c r="AL45" s="1" t="s">
        <v>715</v>
      </c>
      <c r="AM45" s="1" t="s">
        <v>716</v>
      </c>
      <c r="AN45" s="1" t="s">
        <v>717</v>
      </c>
      <c r="AO45" s="1" t="s">
        <v>718</v>
      </c>
    </row>
    <row r="46" spans="1:41" x14ac:dyDescent="0.25">
      <c r="A46" s="1" t="s">
        <v>247</v>
      </c>
      <c r="B46" s="1" t="s">
        <v>247</v>
      </c>
      <c r="C46" s="1" t="s">
        <v>640</v>
      </c>
      <c r="D46" s="1"/>
      <c r="E46" s="1" t="s">
        <v>86</v>
      </c>
      <c r="F46" s="1" t="s">
        <v>52</v>
      </c>
      <c r="G46" s="1" t="s">
        <v>80</v>
      </c>
      <c r="H46" s="1" t="s">
        <v>177</v>
      </c>
      <c r="I46" s="1" t="s">
        <v>256</v>
      </c>
      <c r="J46" s="1" t="s">
        <v>81</v>
      </c>
      <c r="K46" s="1" t="s">
        <v>426</v>
      </c>
      <c r="L46" s="1" t="s">
        <v>119</v>
      </c>
      <c r="M46" s="1" t="s">
        <v>240</v>
      </c>
      <c r="N46" s="1" t="s">
        <v>77</v>
      </c>
      <c r="O46" s="1" t="s">
        <v>131</v>
      </c>
      <c r="P46" s="1" t="s">
        <v>160</v>
      </c>
      <c r="Q46" s="1" t="s">
        <v>398</v>
      </c>
      <c r="R46" s="1" t="s">
        <v>108</v>
      </c>
      <c r="S46" s="1" t="s">
        <v>267</v>
      </c>
      <c r="T46" s="1" t="s">
        <v>175</v>
      </c>
      <c r="U46" s="1" t="s">
        <v>92</v>
      </c>
      <c r="V46" s="1" t="s">
        <v>85</v>
      </c>
      <c r="W46" s="1" t="s">
        <v>108</v>
      </c>
      <c r="X46" s="1" t="s">
        <v>156</v>
      </c>
      <c r="Y46" s="1"/>
      <c r="Z46" s="1" t="s">
        <v>247</v>
      </c>
      <c r="AA46" s="1" t="s">
        <v>303</v>
      </c>
      <c r="AB46" s="1" t="s">
        <v>69</v>
      </c>
      <c r="AC46" s="1" t="s">
        <v>108</v>
      </c>
      <c r="AD46" s="1" t="s">
        <v>200</v>
      </c>
      <c r="AE46" s="1" t="s">
        <v>602</v>
      </c>
      <c r="AF46" s="1" t="s">
        <v>112</v>
      </c>
      <c r="AG46" s="1" t="s">
        <v>160</v>
      </c>
      <c r="AH46" s="1" t="s">
        <v>561</v>
      </c>
      <c r="AI46" s="1" t="s">
        <v>94</v>
      </c>
      <c r="AJ46" s="1" t="s">
        <v>256</v>
      </c>
      <c r="AK46" s="1" t="s">
        <v>189</v>
      </c>
      <c r="AL46" s="1" t="s">
        <v>92</v>
      </c>
      <c r="AM46" s="1" t="s">
        <v>94</v>
      </c>
      <c r="AN46" s="1" t="s">
        <v>156</v>
      </c>
      <c r="AO46" s="1" t="s">
        <v>156</v>
      </c>
    </row>
    <row r="47" spans="1:41" x14ac:dyDescent="0.25">
      <c r="A47" s="1" t="s">
        <v>251</v>
      </c>
      <c r="B47" s="1" t="s">
        <v>251</v>
      </c>
      <c r="C47" s="1" t="s">
        <v>641</v>
      </c>
      <c r="D47" s="1"/>
      <c r="E47" s="1" t="s">
        <v>109</v>
      </c>
      <c r="F47" s="1" t="s">
        <v>65</v>
      </c>
      <c r="G47" s="1" t="s">
        <v>66</v>
      </c>
      <c r="H47" s="1" t="s">
        <v>242</v>
      </c>
      <c r="I47" s="1" t="s">
        <v>220</v>
      </c>
      <c r="J47" s="1" t="s">
        <v>391</v>
      </c>
      <c r="K47" s="1" t="s">
        <v>623</v>
      </c>
      <c r="L47" s="1" t="s">
        <v>94</v>
      </c>
      <c r="M47" s="1" t="s">
        <v>189</v>
      </c>
      <c r="N47" s="1" t="s">
        <v>261</v>
      </c>
      <c r="O47" s="1" t="s">
        <v>150</v>
      </c>
      <c r="P47" s="1" t="s">
        <v>181</v>
      </c>
      <c r="Q47" s="1" t="s">
        <v>398</v>
      </c>
      <c r="R47" s="1" t="s">
        <v>119</v>
      </c>
      <c r="S47" s="1" t="s">
        <v>273</v>
      </c>
      <c r="T47" s="1" t="s">
        <v>150</v>
      </c>
      <c r="U47" s="1" t="s">
        <v>85</v>
      </c>
      <c r="V47" s="1" t="s">
        <v>49</v>
      </c>
      <c r="W47" s="1" t="s">
        <v>138</v>
      </c>
      <c r="X47" s="1" t="s">
        <v>138</v>
      </c>
      <c r="Y47" s="1"/>
      <c r="Z47" s="1" t="s">
        <v>240</v>
      </c>
      <c r="AA47" s="1" t="s">
        <v>259</v>
      </c>
      <c r="AB47" s="1" t="s">
        <v>642</v>
      </c>
      <c r="AC47" s="1" t="s">
        <v>119</v>
      </c>
      <c r="AD47" s="1" t="s">
        <v>235</v>
      </c>
      <c r="AE47" s="1" t="s">
        <v>551</v>
      </c>
      <c r="AF47" s="1" t="s">
        <v>94</v>
      </c>
      <c r="AG47" s="1" t="s">
        <v>98</v>
      </c>
      <c r="AH47" s="1" t="s">
        <v>433</v>
      </c>
      <c r="AI47" s="1" t="s">
        <v>138</v>
      </c>
      <c r="AJ47" s="1" t="s">
        <v>269</v>
      </c>
      <c r="AK47" s="1" t="s">
        <v>189</v>
      </c>
      <c r="AL47" s="1" t="s">
        <v>119</v>
      </c>
      <c r="AM47" s="1" t="s">
        <v>92</v>
      </c>
      <c r="AN47" s="1" t="s">
        <v>94</v>
      </c>
      <c r="AO47" s="1" t="s">
        <v>165</v>
      </c>
    </row>
    <row r="48" spans="1:41" x14ac:dyDescent="0.25">
      <c r="A48" s="1" t="s">
        <v>254</v>
      </c>
      <c r="B48" s="1" t="s">
        <v>254</v>
      </c>
      <c r="C48" s="1" t="s">
        <v>255</v>
      </c>
      <c r="D48" s="1" t="s">
        <v>57</v>
      </c>
      <c r="E48" s="1" t="s">
        <v>192</v>
      </c>
      <c r="F48" s="1" t="s">
        <v>65</v>
      </c>
      <c r="G48" s="1" t="s">
        <v>66</v>
      </c>
      <c r="H48" s="1" t="s">
        <v>172</v>
      </c>
      <c r="I48" s="1" t="s">
        <v>226</v>
      </c>
      <c r="J48" s="1" t="s">
        <v>411</v>
      </c>
      <c r="K48" s="1" t="s">
        <v>187</v>
      </c>
      <c r="L48" s="1" t="s">
        <v>78</v>
      </c>
      <c r="M48" s="1" t="s">
        <v>184</v>
      </c>
      <c r="N48" s="1" t="s">
        <v>84</v>
      </c>
      <c r="O48" s="1" t="s">
        <v>156</v>
      </c>
      <c r="P48" s="1" t="s">
        <v>195</v>
      </c>
      <c r="Q48" s="1" t="s">
        <v>643</v>
      </c>
      <c r="R48" s="1" t="s">
        <v>92</v>
      </c>
      <c r="S48" s="1" t="s">
        <v>247</v>
      </c>
      <c r="T48" s="1" t="s">
        <v>160</v>
      </c>
      <c r="U48" s="1" t="s">
        <v>49</v>
      </c>
      <c r="V48" s="1" t="s">
        <v>48</v>
      </c>
      <c r="W48" s="1" t="s">
        <v>108</v>
      </c>
      <c r="X48" s="1" t="s">
        <v>150</v>
      </c>
      <c r="Y48" s="1"/>
      <c r="Z48" s="1" t="s">
        <v>251</v>
      </c>
      <c r="AA48" s="1" t="s">
        <v>404</v>
      </c>
      <c r="AB48" s="1" t="s">
        <v>323</v>
      </c>
      <c r="AC48" s="1" t="s">
        <v>98</v>
      </c>
      <c r="AD48" s="1" t="s">
        <v>211</v>
      </c>
      <c r="AE48" s="1" t="s">
        <v>495</v>
      </c>
      <c r="AF48" s="1" t="s">
        <v>150</v>
      </c>
      <c r="AG48" s="1" t="s">
        <v>175</v>
      </c>
      <c r="AH48" s="1" t="s">
        <v>384</v>
      </c>
      <c r="AI48" s="1" t="s">
        <v>98</v>
      </c>
      <c r="AJ48" s="1" t="s">
        <v>272</v>
      </c>
      <c r="AK48" s="1" t="s">
        <v>204</v>
      </c>
      <c r="AL48" s="1" t="s">
        <v>92</v>
      </c>
      <c r="AM48" s="1" t="s">
        <v>85</v>
      </c>
      <c r="AN48" s="1" t="s">
        <v>103</v>
      </c>
      <c r="AO48" s="1" t="s">
        <v>181</v>
      </c>
    </row>
    <row r="49" spans="1:41" x14ac:dyDescent="0.25">
      <c r="A49" s="1" t="s">
        <v>256</v>
      </c>
      <c r="B49" s="1" t="s">
        <v>256</v>
      </c>
      <c r="C49" s="1" t="s">
        <v>257</v>
      </c>
      <c r="D49" s="1" t="s">
        <v>57</v>
      </c>
      <c r="E49" s="1" t="s">
        <v>274</v>
      </c>
      <c r="F49" s="1" t="s">
        <v>65</v>
      </c>
      <c r="G49" s="1" t="s">
        <v>172</v>
      </c>
      <c r="H49" s="1" t="s">
        <v>329</v>
      </c>
      <c r="I49" s="1" t="s">
        <v>230</v>
      </c>
      <c r="J49" s="1" t="s">
        <v>411</v>
      </c>
      <c r="K49" s="1" t="s">
        <v>575</v>
      </c>
      <c r="L49" s="1" t="s">
        <v>150</v>
      </c>
      <c r="M49" s="1" t="s">
        <v>235</v>
      </c>
      <c r="N49" s="1" t="s">
        <v>420</v>
      </c>
      <c r="O49" s="1" t="s">
        <v>165</v>
      </c>
      <c r="P49" s="1" t="s">
        <v>204</v>
      </c>
      <c r="Q49" s="1" t="s">
        <v>499</v>
      </c>
      <c r="R49" s="1" t="s">
        <v>85</v>
      </c>
      <c r="S49" s="1" t="s">
        <v>220</v>
      </c>
      <c r="T49" s="1" t="s">
        <v>184</v>
      </c>
      <c r="U49" s="1" t="s">
        <v>103</v>
      </c>
      <c r="V49" s="1" t="s">
        <v>70</v>
      </c>
      <c r="W49" s="1" t="s">
        <v>119</v>
      </c>
      <c r="X49" s="1" t="s">
        <v>142</v>
      </c>
      <c r="Y49" s="1"/>
      <c r="Z49" s="1" t="s">
        <v>264</v>
      </c>
      <c r="AA49" s="1" t="s">
        <v>301</v>
      </c>
      <c r="AB49" s="1" t="s">
        <v>638</v>
      </c>
      <c r="AC49" s="1" t="s">
        <v>103</v>
      </c>
      <c r="AD49" s="1" t="s">
        <v>200</v>
      </c>
      <c r="AE49" s="1" t="s">
        <v>55</v>
      </c>
      <c r="AF49" s="1" t="s">
        <v>181</v>
      </c>
      <c r="AG49" s="1" t="s">
        <v>189</v>
      </c>
      <c r="AH49" s="1" t="s">
        <v>644</v>
      </c>
      <c r="AI49" s="1" t="s">
        <v>108</v>
      </c>
      <c r="AJ49" s="1" t="s">
        <v>275</v>
      </c>
      <c r="AK49" s="1" t="s">
        <v>195</v>
      </c>
      <c r="AL49" s="1" t="s">
        <v>98</v>
      </c>
      <c r="AM49" s="1" t="s">
        <v>49</v>
      </c>
      <c r="AN49" s="1" t="s">
        <v>119</v>
      </c>
      <c r="AO49" s="1" t="s">
        <v>181</v>
      </c>
    </row>
    <row r="50" spans="1:41" x14ac:dyDescent="0.25">
      <c r="A50" s="1" t="s">
        <v>260</v>
      </c>
      <c r="B50" s="1" t="s">
        <v>260</v>
      </c>
      <c r="C50" s="1" t="s">
        <v>645</v>
      </c>
      <c r="D50" s="1"/>
      <c r="E50" s="1" t="s">
        <v>401</v>
      </c>
      <c r="F50" s="1" t="s">
        <v>65</v>
      </c>
      <c r="G50" s="1" t="s">
        <v>93</v>
      </c>
      <c r="H50" s="1" t="s">
        <v>59</v>
      </c>
      <c r="I50" s="1" t="s">
        <v>220</v>
      </c>
      <c r="J50" s="1" t="s">
        <v>427</v>
      </c>
      <c r="K50" s="1" t="s">
        <v>646</v>
      </c>
      <c r="L50" s="1" t="s">
        <v>98</v>
      </c>
      <c r="M50" s="1" t="s">
        <v>189</v>
      </c>
      <c r="N50" s="1" t="s">
        <v>135</v>
      </c>
      <c r="O50" s="1" t="s">
        <v>181</v>
      </c>
      <c r="P50" s="1" t="s">
        <v>215</v>
      </c>
      <c r="Q50" s="1" t="s">
        <v>489</v>
      </c>
      <c r="R50" s="1" t="s">
        <v>92</v>
      </c>
      <c r="S50" s="1" t="s">
        <v>251</v>
      </c>
      <c r="T50" s="1" t="s">
        <v>171</v>
      </c>
      <c r="U50" s="1" t="s">
        <v>103</v>
      </c>
      <c r="V50" s="1" t="s">
        <v>439</v>
      </c>
      <c r="W50" s="1" t="s">
        <v>160</v>
      </c>
      <c r="X50" s="1" t="s">
        <v>156</v>
      </c>
      <c r="Y50" s="1"/>
      <c r="Z50" s="1" t="s">
        <v>240</v>
      </c>
      <c r="AA50" s="1" t="s">
        <v>459</v>
      </c>
      <c r="AB50" s="1" t="s">
        <v>164</v>
      </c>
      <c r="AC50" s="1" t="s">
        <v>142</v>
      </c>
      <c r="AD50" s="1" t="s">
        <v>260</v>
      </c>
      <c r="AE50" s="1" t="s">
        <v>298</v>
      </c>
      <c r="AF50" s="1" t="s">
        <v>124</v>
      </c>
      <c r="AG50" s="1" t="s">
        <v>165</v>
      </c>
      <c r="AH50" s="1" t="s">
        <v>418</v>
      </c>
      <c r="AI50" s="1" t="s">
        <v>92</v>
      </c>
      <c r="AJ50" s="1" t="s">
        <v>240</v>
      </c>
      <c r="AK50" s="1" t="s">
        <v>181</v>
      </c>
      <c r="AL50" s="1" t="s">
        <v>119</v>
      </c>
      <c r="AM50" s="1" t="s">
        <v>98</v>
      </c>
      <c r="AN50" s="1" t="s">
        <v>160</v>
      </c>
      <c r="AO50" s="1" t="s">
        <v>189</v>
      </c>
    </row>
    <row r="51" spans="1:41" x14ac:dyDescent="0.25">
      <c r="A51" s="1" t="s">
        <v>262</v>
      </c>
      <c r="B51" s="1" t="s">
        <v>262</v>
      </c>
      <c r="C51" s="1" t="s">
        <v>508</v>
      </c>
      <c r="D51" s="1"/>
      <c r="E51" s="1" t="s">
        <v>64</v>
      </c>
      <c r="F51" s="1" t="s">
        <v>52</v>
      </c>
      <c r="G51" s="1" t="s">
        <v>72</v>
      </c>
      <c r="H51" s="1" t="s">
        <v>387</v>
      </c>
      <c r="I51" s="1" t="s">
        <v>239</v>
      </c>
      <c r="J51" s="1" t="s">
        <v>427</v>
      </c>
      <c r="K51" s="1" t="s">
        <v>567</v>
      </c>
      <c r="L51" s="1" t="s">
        <v>85</v>
      </c>
      <c r="M51" s="1" t="s">
        <v>189</v>
      </c>
      <c r="N51" s="1" t="s">
        <v>647</v>
      </c>
      <c r="O51" s="1" t="s">
        <v>150</v>
      </c>
      <c r="P51" s="1" t="s">
        <v>184</v>
      </c>
      <c r="Q51" s="1" t="s">
        <v>648</v>
      </c>
      <c r="R51" s="1" t="s">
        <v>98</v>
      </c>
      <c r="S51" s="1" t="s">
        <v>260</v>
      </c>
      <c r="T51" s="1" t="s">
        <v>175</v>
      </c>
      <c r="U51" s="1" t="s">
        <v>131</v>
      </c>
      <c r="V51" s="1" t="s">
        <v>49</v>
      </c>
      <c r="W51" s="1" t="s">
        <v>175</v>
      </c>
      <c r="X51" s="1" t="s">
        <v>175</v>
      </c>
      <c r="Y51" s="1"/>
      <c r="Z51" s="1" t="s">
        <v>208</v>
      </c>
      <c r="AA51" s="1" t="s">
        <v>459</v>
      </c>
      <c r="AB51" s="1" t="s">
        <v>282</v>
      </c>
      <c r="AC51" s="1" t="s">
        <v>78</v>
      </c>
      <c r="AD51" s="1" t="s">
        <v>189</v>
      </c>
      <c r="AE51" s="1" t="s">
        <v>649</v>
      </c>
      <c r="AF51" s="1" t="s">
        <v>156</v>
      </c>
      <c r="AG51" s="1" t="s">
        <v>195</v>
      </c>
      <c r="AH51" s="1" t="s">
        <v>643</v>
      </c>
      <c r="AI51" s="1" t="s">
        <v>103</v>
      </c>
      <c r="AJ51" s="1" t="s">
        <v>235</v>
      </c>
      <c r="AK51" s="1" t="s">
        <v>181</v>
      </c>
      <c r="AL51" s="1" t="s">
        <v>108</v>
      </c>
      <c r="AM51" s="1" t="s">
        <v>70</v>
      </c>
      <c r="AN51" s="1" t="s">
        <v>165</v>
      </c>
      <c r="AO51" s="1" t="s">
        <v>156</v>
      </c>
    </row>
    <row r="52" spans="1:41" x14ac:dyDescent="0.25">
      <c r="A52" s="1" t="s">
        <v>264</v>
      </c>
      <c r="B52" s="1" t="s">
        <v>264</v>
      </c>
      <c r="C52" s="1" t="s">
        <v>650</v>
      </c>
      <c r="D52" s="1"/>
      <c r="E52" s="1" t="s">
        <v>79</v>
      </c>
      <c r="F52" s="1" t="s">
        <v>52</v>
      </c>
      <c r="G52" s="1" t="s">
        <v>245</v>
      </c>
      <c r="H52" s="1" t="s">
        <v>73</v>
      </c>
      <c r="I52" s="1" t="s">
        <v>220</v>
      </c>
      <c r="J52" s="1" t="s">
        <v>372</v>
      </c>
      <c r="K52" s="1" t="s">
        <v>297</v>
      </c>
      <c r="L52" s="1" t="s">
        <v>108</v>
      </c>
      <c r="M52" s="1" t="s">
        <v>244</v>
      </c>
      <c r="N52" s="1" t="s">
        <v>651</v>
      </c>
      <c r="O52" s="1" t="s">
        <v>142</v>
      </c>
      <c r="P52" s="1" t="s">
        <v>175</v>
      </c>
      <c r="Q52" s="1" t="s">
        <v>498</v>
      </c>
      <c r="R52" s="1" t="s">
        <v>94</v>
      </c>
      <c r="S52" s="1" t="s">
        <v>273</v>
      </c>
      <c r="T52" s="1" t="s">
        <v>184</v>
      </c>
      <c r="U52" s="1" t="s">
        <v>98</v>
      </c>
      <c r="V52" s="1" t="s">
        <v>78</v>
      </c>
      <c r="W52" s="1" t="s">
        <v>112</v>
      </c>
      <c r="X52" s="1" t="s">
        <v>142</v>
      </c>
      <c r="Y52" s="1"/>
      <c r="Z52" s="1" t="s">
        <v>220</v>
      </c>
      <c r="AA52" s="1" t="s">
        <v>419</v>
      </c>
      <c r="AB52" s="1" t="s">
        <v>625</v>
      </c>
      <c r="AC52" s="1" t="s">
        <v>108</v>
      </c>
      <c r="AD52" s="1" t="s">
        <v>215</v>
      </c>
      <c r="AE52" s="1" t="s">
        <v>77</v>
      </c>
      <c r="AF52" s="1" t="s">
        <v>124</v>
      </c>
      <c r="AG52" s="1" t="s">
        <v>142</v>
      </c>
      <c r="AH52" s="1" t="s">
        <v>603</v>
      </c>
      <c r="AI52" s="1" t="s">
        <v>103</v>
      </c>
      <c r="AJ52" s="1" t="s">
        <v>272</v>
      </c>
      <c r="AK52" s="1" t="s">
        <v>156</v>
      </c>
      <c r="AL52" s="1" t="s">
        <v>78</v>
      </c>
      <c r="AM52" s="1" t="s">
        <v>70</v>
      </c>
      <c r="AN52" s="1" t="s">
        <v>103</v>
      </c>
      <c r="AO52" s="1" t="s">
        <v>150</v>
      </c>
    </row>
    <row r="53" spans="1:41" x14ac:dyDescent="0.25">
      <c r="A53" s="1" t="s">
        <v>267</v>
      </c>
      <c r="B53" s="1" t="s">
        <v>267</v>
      </c>
      <c r="C53" s="1" t="s">
        <v>514</v>
      </c>
      <c r="D53" s="1"/>
      <c r="E53" s="1" t="s">
        <v>249</v>
      </c>
      <c r="F53" s="1" t="s">
        <v>65</v>
      </c>
      <c r="G53" s="1" t="s">
        <v>218</v>
      </c>
      <c r="H53" s="1" t="s">
        <v>88</v>
      </c>
      <c r="I53" s="1" t="s">
        <v>226</v>
      </c>
      <c r="J53" s="1" t="s">
        <v>404</v>
      </c>
      <c r="K53" s="1" t="s">
        <v>478</v>
      </c>
      <c r="L53" s="1" t="s">
        <v>103</v>
      </c>
      <c r="M53" s="1" t="s">
        <v>230</v>
      </c>
      <c r="N53" s="1" t="s">
        <v>652</v>
      </c>
      <c r="O53" s="1" t="s">
        <v>142</v>
      </c>
      <c r="P53" s="1" t="s">
        <v>171</v>
      </c>
      <c r="Q53" s="1" t="s">
        <v>492</v>
      </c>
      <c r="R53" s="1" t="s">
        <v>108</v>
      </c>
      <c r="S53" s="1" t="s">
        <v>244</v>
      </c>
      <c r="T53" s="1" t="s">
        <v>171</v>
      </c>
      <c r="U53" s="1" t="s">
        <v>98</v>
      </c>
      <c r="V53" s="1" t="s">
        <v>78</v>
      </c>
      <c r="W53" s="1" t="s">
        <v>171</v>
      </c>
      <c r="X53" s="1" t="s">
        <v>171</v>
      </c>
      <c r="Y53" s="1"/>
      <c r="Z53" s="1" t="s">
        <v>251</v>
      </c>
      <c r="AA53" s="1" t="s">
        <v>416</v>
      </c>
      <c r="AB53" s="1" t="s">
        <v>279</v>
      </c>
      <c r="AC53" s="1" t="s">
        <v>124</v>
      </c>
      <c r="AD53" s="1" t="s">
        <v>189</v>
      </c>
      <c r="AE53" s="1" t="s">
        <v>203</v>
      </c>
      <c r="AF53" s="1" t="s">
        <v>124</v>
      </c>
      <c r="AG53" s="1" t="s">
        <v>150</v>
      </c>
      <c r="AH53" s="1" t="s">
        <v>503</v>
      </c>
      <c r="AI53" s="1" t="s">
        <v>92</v>
      </c>
      <c r="AJ53" s="1" t="s">
        <v>251</v>
      </c>
      <c r="AK53" s="1" t="s">
        <v>175</v>
      </c>
      <c r="AL53" s="1" t="s">
        <v>119</v>
      </c>
      <c r="AM53" s="1" t="s">
        <v>94</v>
      </c>
      <c r="AN53" s="1" t="s">
        <v>165</v>
      </c>
      <c r="AO53" s="1" t="s">
        <v>142</v>
      </c>
    </row>
    <row r="54" spans="1:41" x14ac:dyDescent="0.25">
      <c r="A54" s="1" t="s">
        <v>269</v>
      </c>
      <c r="B54" s="1" t="s">
        <v>269</v>
      </c>
      <c r="C54" s="1" t="s">
        <v>653</v>
      </c>
      <c r="D54" s="1" t="s">
        <v>57</v>
      </c>
      <c r="E54" s="1" t="s">
        <v>186</v>
      </c>
      <c r="F54" s="1" t="s">
        <v>52</v>
      </c>
      <c r="G54" s="1" t="s">
        <v>106</v>
      </c>
      <c r="H54" s="1" t="s">
        <v>66</v>
      </c>
      <c r="I54" s="1" t="s">
        <v>254</v>
      </c>
      <c r="J54" s="1" t="s">
        <v>423</v>
      </c>
      <c r="K54" s="1" t="s">
        <v>153</v>
      </c>
      <c r="L54" s="1" t="s">
        <v>142</v>
      </c>
      <c r="M54" s="1" t="s">
        <v>215</v>
      </c>
      <c r="N54" s="1" t="s">
        <v>654</v>
      </c>
      <c r="O54" s="1" t="s">
        <v>112</v>
      </c>
      <c r="P54" s="1" t="s">
        <v>160</v>
      </c>
      <c r="Q54" s="1" t="s">
        <v>561</v>
      </c>
      <c r="R54" s="1" t="s">
        <v>119</v>
      </c>
      <c r="S54" s="1" t="s">
        <v>284</v>
      </c>
      <c r="T54" s="1" t="s">
        <v>189</v>
      </c>
      <c r="U54" s="1" t="s">
        <v>103</v>
      </c>
      <c r="V54" s="1" t="s">
        <v>48</v>
      </c>
      <c r="W54" s="1" t="s">
        <v>142</v>
      </c>
      <c r="X54" s="1" t="s">
        <v>156</v>
      </c>
      <c r="Y54" s="1"/>
      <c r="Z54" s="1" t="s">
        <v>230</v>
      </c>
      <c r="AA54" s="1" t="s">
        <v>411</v>
      </c>
      <c r="AB54" s="1" t="s">
        <v>575</v>
      </c>
      <c r="AC54" s="1" t="s">
        <v>103</v>
      </c>
      <c r="AD54" s="1" t="s">
        <v>226</v>
      </c>
      <c r="AE54" s="1" t="s">
        <v>599</v>
      </c>
      <c r="AF54" s="1" t="s">
        <v>112</v>
      </c>
      <c r="AG54" s="1" t="s">
        <v>138</v>
      </c>
      <c r="AH54" s="1" t="s">
        <v>398</v>
      </c>
      <c r="AI54" s="1" t="s">
        <v>85</v>
      </c>
      <c r="AJ54" s="1" t="s">
        <v>239</v>
      </c>
      <c r="AK54" s="1" t="s">
        <v>181</v>
      </c>
      <c r="AL54" s="1" t="s">
        <v>94</v>
      </c>
      <c r="AM54" s="1" t="s">
        <v>78</v>
      </c>
      <c r="AN54" s="1" t="s">
        <v>124</v>
      </c>
      <c r="AO54" s="1" t="s">
        <v>138</v>
      </c>
    </row>
    <row r="55" spans="1:41" x14ac:dyDescent="0.25">
      <c r="A55" s="1" t="s">
        <v>270</v>
      </c>
      <c r="B55" s="1" t="s">
        <v>270</v>
      </c>
      <c r="C55" s="1" t="s">
        <v>271</v>
      </c>
      <c r="D55" s="1" t="s">
        <v>57</v>
      </c>
      <c r="E55" s="1" t="s">
        <v>263</v>
      </c>
      <c r="F55" s="1" t="s">
        <v>65</v>
      </c>
      <c r="G55" s="1" t="s">
        <v>387</v>
      </c>
      <c r="H55" s="1" t="s">
        <v>127</v>
      </c>
      <c r="I55" s="1" t="s">
        <v>211</v>
      </c>
      <c r="J55" s="1" t="s">
        <v>459</v>
      </c>
      <c r="K55" s="1" t="s">
        <v>424</v>
      </c>
      <c r="L55" s="1" t="s">
        <v>92</v>
      </c>
      <c r="M55" s="1" t="s">
        <v>175</v>
      </c>
      <c r="N55" s="1" t="s">
        <v>89</v>
      </c>
      <c r="O55" s="1" t="s">
        <v>131</v>
      </c>
      <c r="P55" s="1" t="s">
        <v>160</v>
      </c>
      <c r="Q55" s="1" t="s">
        <v>398</v>
      </c>
      <c r="R55" s="1" t="s">
        <v>92</v>
      </c>
      <c r="S55" s="1" t="s">
        <v>230</v>
      </c>
      <c r="T55" s="1" t="s">
        <v>138</v>
      </c>
      <c r="U55" s="1" t="s">
        <v>98</v>
      </c>
      <c r="V55" s="1" t="s">
        <v>92</v>
      </c>
      <c r="W55" s="1" t="s">
        <v>150</v>
      </c>
      <c r="X55" s="1" t="s">
        <v>108</v>
      </c>
      <c r="Y55" s="1"/>
      <c r="Z55" s="1" t="s">
        <v>247</v>
      </c>
      <c r="AA55" s="1" t="s">
        <v>387</v>
      </c>
      <c r="AB55" s="1" t="s">
        <v>313</v>
      </c>
      <c r="AC55" s="1" t="s">
        <v>124</v>
      </c>
      <c r="AD55" s="1" t="s">
        <v>195</v>
      </c>
      <c r="AE55" s="1" t="s">
        <v>219</v>
      </c>
      <c r="AF55" s="1" t="s">
        <v>94</v>
      </c>
      <c r="AG55" s="1" t="s">
        <v>98</v>
      </c>
      <c r="AH55" s="1" t="s">
        <v>433</v>
      </c>
      <c r="AI55" s="1" t="s">
        <v>119</v>
      </c>
      <c r="AJ55" s="1" t="s">
        <v>270</v>
      </c>
      <c r="AK55" s="1" t="s">
        <v>175</v>
      </c>
      <c r="AL55" s="1" t="s">
        <v>103</v>
      </c>
      <c r="AM55" s="1" t="s">
        <v>70</v>
      </c>
      <c r="AN55" s="1" t="s">
        <v>156</v>
      </c>
      <c r="AO55" s="1" t="s">
        <v>184</v>
      </c>
    </row>
    <row r="56" spans="1:41" x14ac:dyDescent="0.25">
      <c r="A56" s="1" t="s">
        <v>272</v>
      </c>
      <c r="B56" s="1" t="s">
        <v>272</v>
      </c>
      <c r="C56" s="1" t="s">
        <v>655</v>
      </c>
      <c r="D56" s="1" t="s">
        <v>57</v>
      </c>
      <c r="E56" s="1" t="s">
        <v>71</v>
      </c>
      <c r="F56" s="1" t="s">
        <v>52</v>
      </c>
      <c r="G56" s="1" t="s">
        <v>140</v>
      </c>
      <c r="H56" s="1" t="s">
        <v>93</v>
      </c>
      <c r="I56" s="1" t="s">
        <v>240</v>
      </c>
      <c r="J56" s="1" t="s">
        <v>416</v>
      </c>
      <c r="K56" s="1" t="s">
        <v>69</v>
      </c>
      <c r="L56" s="1" t="s">
        <v>150</v>
      </c>
      <c r="M56" s="1" t="s">
        <v>244</v>
      </c>
      <c r="N56" s="1" t="s">
        <v>656</v>
      </c>
      <c r="O56" s="1" t="s">
        <v>124</v>
      </c>
      <c r="P56" s="1" t="s">
        <v>171</v>
      </c>
      <c r="Q56" s="1" t="s">
        <v>463</v>
      </c>
      <c r="R56" s="1" t="s">
        <v>108</v>
      </c>
      <c r="S56" s="1" t="s">
        <v>269</v>
      </c>
      <c r="T56" s="1" t="s">
        <v>200</v>
      </c>
      <c r="U56" s="1" t="s">
        <v>94</v>
      </c>
      <c r="V56" s="1" t="s">
        <v>92</v>
      </c>
      <c r="W56" s="1" t="s">
        <v>165</v>
      </c>
      <c r="X56" s="1" t="s">
        <v>181</v>
      </c>
      <c r="Y56" s="1"/>
      <c r="Z56" s="1" t="s">
        <v>230</v>
      </c>
      <c r="AA56" s="1" t="s">
        <v>423</v>
      </c>
      <c r="AB56" s="1" t="s">
        <v>532</v>
      </c>
      <c r="AC56" s="1" t="s">
        <v>78</v>
      </c>
      <c r="AD56" s="1" t="s">
        <v>215</v>
      </c>
      <c r="AE56" s="1" t="s">
        <v>657</v>
      </c>
      <c r="AF56" s="1" t="s">
        <v>181</v>
      </c>
      <c r="AG56" s="1" t="s">
        <v>204</v>
      </c>
      <c r="AH56" s="1" t="s">
        <v>464</v>
      </c>
      <c r="AI56" s="1" t="s">
        <v>131</v>
      </c>
      <c r="AJ56" s="1" t="s">
        <v>251</v>
      </c>
      <c r="AK56" s="1" t="s">
        <v>142</v>
      </c>
      <c r="AL56" s="1" t="s">
        <v>119</v>
      </c>
      <c r="AM56" s="1" t="s">
        <v>49</v>
      </c>
      <c r="AN56" s="1" t="s">
        <v>112</v>
      </c>
      <c r="AO56" s="1" t="s">
        <v>156</v>
      </c>
    </row>
    <row r="57" spans="1:41" x14ac:dyDescent="0.25">
      <c r="A57" s="1" t="s">
        <v>273</v>
      </c>
      <c r="B57" s="1" t="s">
        <v>273</v>
      </c>
      <c r="C57" s="1" t="s">
        <v>658</v>
      </c>
      <c r="D57" s="1" t="s">
        <v>57</v>
      </c>
      <c r="E57" s="1" t="s">
        <v>114</v>
      </c>
      <c r="F57" s="1" t="s">
        <v>65</v>
      </c>
      <c r="G57" s="1" t="s">
        <v>127</v>
      </c>
      <c r="H57" s="1" t="s">
        <v>140</v>
      </c>
      <c r="I57" s="1" t="s">
        <v>226</v>
      </c>
      <c r="J57" s="1" t="s">
        <v>416</v>
      </c>
      <c r="K57" s="1" t="s">
        <v>90</v>
      </c>
      <c r="L57" s="1" t="s">
        <v>112</v>
      </c>
      <c r="M57" s="1" t="s">
        <v>226</v>
      </c>
      <c r="N57" s="1" t="s">
        <v>543</v>
      </c>
      <c r="O57" s="1" t="s">
        <v>171</v>
      </c>
      <c r="P57" s="1" t="s">
        <v>184</v>
      </c>
      <c r="Q57" s="1" t="s">
        <v>428</v>
      </c>
      <c r="R57" s="1" t="s">
        <v>103</v>
      </c>
      <c r="S57" s="1" t="s">
        <v>244</v>
      </c>
      <c r="T57" s="1" t="s">
        <v>189</v>
      </c>
      <c r="U57" s="1" t="s">
        <v>98</v>
      </c>
      <c r="V57" s="1" t="s">
        <v>49</v>
      </c>
      <c r="W57" s="1" t="s">
        <v>171</v>
      </c>
      <c r="X57" s="1" t="s">
        <v>181</v>
      </c>
      <c r="Y57" s="1"/>
      <c r="Z57" s="1" t="s">
        <v>220</v>
      </c>
      <c r="AA57" s="1" t="s">
        <v>325</v>
      </c>
      <c r="AB57" s="1" t="s">
        <v>443</v>
      </c>
      <c r="AC57" s="1" t="s">
        <v>103</v>
      </c>
      <c r="AD57" s="1" t="s">
        <v>184</v>
      </c>
      <c r="AE57" s="1" t="s">
        <v>424</v>
      </c>
      <c r="AF57" s="1" t="s">
        <v>211</v>
      </c>
      <c r="AG57" s="1" t="s">
        <v>244</v>
      </c>
      <c r="AH57" s="1" t="s">
        <v>464</v>
      </c>
      <c r="AI57" s="1" t="s">
        <v>98</v>
      </c>
      <c r="AJ57" s="1" t="s">
        <v>239</v>
      </c>
      <c r="AK57" s="1" t="s">
        <v>171</v>
      </c>
      <c r="AL57" s="1" t="s">
        <v>112</v>
      </c>
      <c r="AM57" s="1" t="s">
        <v>94</v>
      </c>
      <c r="AN57" s="1" t="s">
        <v>160</v>
      </c>
      <c r="AO57" s="1" t="s">
        <v>184</v>
      </c>
    </row>
    <row r="58" spans="1:41" x14ac:dyDescent="0.25">
      <c r="A58" s="1" t="s">
        <v>275</v>
      </c>
      <c r="B58" s="1" t="s">
        <v>275</v>
      </c>
      <c r="C58" s="1" t="s">
        <v>276</v>
      </c>
      <c r="D58" s="1" t="s">
        <v>57</v>
      </c>
      <c r="E58" s="1" t="s">
        <v>616</v>
      </c>
      <c r="F58" s="1" t="s">
        <v>52</v>
      </c>
      <c r="G58" s="1" t="s">
        <v>307</v>
      </c>
      <c r="H58" s="1" t="s">
        <v>93</v>
      </c>
      <c r="I58" s="1" t="s">
        <v>264</v>
      </c>
      <c r="J58" s="1" t="s">
        <v>73</v>
      </c>
      <c r="K58" s="1" t="s">
        <v>188</v>
      </c>
      <c r="L58" s="1" t="s">
        <v>156</v>
      </c>
      <c r="M58" s="1" t="s">
        <v>220</v>
      </c>
      <c r="N58" s="1" t="s">
        <v>232</v>
      </c>
      <c r="O58" s="1" t="s">
        <v>119</v>
      </c>
      <c r="P58" s="1" t="s">
        <v>160</v>
      </c>
      <c r="Q58" s="1" t="s">
        <v>524</v>
      </c>
      <c r="R58" s="1" t="s">
        <v>112</v>
      </c>
      <c r="S58" s="1" t="s">
        <v>264</v>
      </c>
      <c r="T58" s="1" t="s">
        <v>204</v>
      </c>
      <c r="U58" s="1" t="s">
        <v>112</v>
      </c>
      <c r="V58" s="1" t="s">
        <v>70</v>
      </c>
      <c r="W58" s="1" t="s">
        <v>124</v>
      </c>
      <c r="X58" s="1" t="s">
        <v>181</v>
      </c>
      <c r="Y58" s="1"/>
      <c r="Z58" s="1" t="s">
        <v>226</v>
      </c>
      <c r="AA58" s="1" t="s">
        <v>459</v>
      </c>
      <c r="AB58" s="1" t="s">
        <v>392</v>
      </c>
      <c r="AC58" s="1" t="s">
        <v>78</v>
      </c>
      <c r="AD58" s="1" t="s">
        <v>190</v>
      </c>
      <c r="AE58" s="1" t="s">
        <v>523</v>
      </c>
      <c r="AF58" s="1" t="s">
        <v>189</v>
      </c>
      <c r="AG58" s="1" t="s">
        <v>204</v>
      </c>
      <c r="AH58" s="1" t="s">
        <v>479</v>
      </c>
      <c r="AI58" s="1" t="s">
        <v>98</v>
      </c>
      <c r="AJ58" s="1" t="s">
        <v>251</v>
      </c>
      <c r="AK58" s="1" t="s">
        <v>156</v>
      </c>
      <c r="AL58" s="1" t="s">
        <v>85</v>
      </c>
      <c r="AM58" s="1" t="s">
        <v>103</v>
      </c>
      <c r="AN58" s="1" t="s">
        <v>156</v>
      </c>
      <c r="AO58" s="1" t="s">
        <v>160</v>
      </c>
    </row>
    <row r="59" spans="1:41" x14ac:dyDescent="0.25">
      <c r="A59" s="1" t="s">
        <v>280</v>
      </c>
      <c r="B59" s="1" t="s">
        <v>280</v>
      </c>
      <c r="C59" s="1" t="s">
        <v>659</v>
      </c>
      <c r="D59" s="1" t="s">
        <v>57</v>
      </c>
      <c r="E59" s="1" t="s">
        <v>58</v>
      </c>
      <c r="F59" s="1" t="s">
        <v>65</v>
      </c>
      <c r="G59" s="1" t="s">
        <v>245</v>
      </c>
      <c r="H59" s="1" t="s">
        <v>172</v>
      </c>
      <c r="I59" s="1" t="s">
        <v>226</v>
      </c>
      <c r="J59" s="1" t="s">
        <v>459</v>
      </c>
      <c r="K59" s="1" t="s">
        <v>392</v>
      </c>
      <c r="L59" s="1" t="s">
        <v>112</v>
      </c>
      <c r="M59" s="1" t="s">
        <v>230</v>
      </c>
      <c r="N59" s="1" t="s">
        <v>77</v>
      </c>
      <c r="O59" s="1" t="s">
        <v>124</v>
      </c>
      <c r="P59" s="1" t="s">
        <v>150</v>
      </c>
      <c r="Q59" s="1" t="s">
        <v>503</v>
      </c>
      <c r="R59" s="1" t="s">
        <v>70</v>
      </c>
      <c r="S59" s="1" t="s">
        <v>215</v>
      </c>
      <c r="T59" s="1" t="s">
        <v>171</v>
      </c>
      <c r="U59" s="1" t="s">
        <v>78</v>
      </c>
      <c r="V59" s="1" t="s">
        <v>92</v>
      </c>
      <c r="W59" s="1" t="s">
        <v>181</v>
      </c>
      <c r="X59" s="1" t="s">
        <v>165</v>
      </c>
      <c r="Y59" s="1"/>
      <c r="Z59" s="1" t="s">
        <v>251</v>
      </c>
      <c r="AA59" s="1" t="s">
        <v>60</v>
      </c>
      <c r="AB59" s="1" t="s">
        <v>246</v>
      </c>
      <c r="AC59" s="1" t="s">
        <v>78</v>
      </c>
      <c r="AD59" s="1" t="s">
        <v>190</v>
      </c>
      <c r="AE59" s="1" t="s">
        <v>523</v>
      </c>
      <c r="AF59" s="1" t="s">
        <v>171</v>
      </c>
      <c r="AG59" s="1" t="s">
        <v>190</v>
      </c>
      <c r="AH59" s="1" t="s">
        <v>549</v>
      </c>
      <c r="AI59" s="1" t="s">
        <v>131</v>
      </c>
      <c r="AJ59" s="1" t="s">
        <v>264</v>
      </c>
      <c r="AK59" s="1" t="s">
        <v>150</v>
      </c>
      <c r="AL59" s="1" t="s">
        <v>124</v>
      </c>
      <c r="AM59" s="1" t="s">
        <v>98</v>
      </c>
      <c r="AN59" s="1" t="s">
        <v>131</v>
      </c>
      <c r="AO59" s="1" t="s">
        <v>160</v>
      </c>
    </row>
    <row r="60" spans="1:41" x14ac:dyDescent="0.25">
      <c r="A60" s="1" t="s">
        <v>284</v>
      </c>
      <c r="B60" s="1" t="s">
        <v>284</v>
      </c>
      <c r="C60" s="1" t="s">
        <v>525</v>
      </c>
      <c r="D60" s="1" t="s">
        <v>57</v>
      </c>
      <c r="E60" s="1" t="s">
        <v>86</v>
      </c>
      <c r="F60" s="1" t="s">
        <v>52</v>
      </c>
      <c r="G60" s="1" t="s">
        <v>93</v>
      </c>
      <c r="H60" s="1" t="s">
        <v>73</v>
      </c>
      <c r="I60" s="1" t="s">
        <v>220</v>
      </c>
      <c r="J60" s="1" t="s">
        <v>372</v>
      </c>
      <c r="K60" s="1" t="s">
        <v>297</v>
      </c>
      <c r="L60" s="1" t="s">
        <v>138</v>
      </c>
      <c r="M60" s="1" t="s">
        <v>256</v>
      </c>
      <c r="N60" s="1" t="s">
        <v>394</v>
      </c>
      <c r="O60" s="1" t="s">
        <v>142</v>
      </c>
      <c r="P60" s="1" t="s">
        <v>150</v>
      </c>
      <c r="Q60" s="1" t="s">
        <v>660</v>
      </c>
      <c r="R60" s="1" t="s">
        <v>94</v>
      </c>
      <c r="S60" s="1" t="s">
        <v>239</v>
      </c>
      <c r="T60" s="1" t="s">
        <v>181</v>
      </c>
      <c r="U60" s="1" t="s">
        <v>98</v>
      </c>
      <c r="V60" s="1" t="s">
        <v>48</v>
      </c>
      <c r="W60" s="1" t="s">
        <v>108</v>
      </c>
      <c r="X60" s="1" t="s">
        <v>150</v>
      </c>
      <c r="Y60" s="1"/>
      <c r="Z60" s="1" t="s">
        <v>230</v>
      </c>
      <c r="AA60" s="1" t="s">
        <v>303</v>
      </c>
      <c r="AB60" s="1" t="s">
        <v>661</v>
      </c>
      <c r="AC60" s="1" t="s">
        <v>98</v>
      </c>
      <c r="AD60" s="1" t="s">
        <v>226</v>
      </c>
      <c r="AE60" s="1" t="s">
        <v>662</v>
      </c>
      <c r="AF60" s="1" t="s">
        <v>112</v>
      </c>
      <c r="AG60" s="1" t="s">
        <v>150</v>
      </c>
      <c r="AH60" s="1" t="s">
        <v>418</v>
      </c>
      <c r="AI60" s="1" t="s">
        <v>112</v>
      </c>
      <c r="AJ60" s="1" t="s">
        <v>260</v>
      </c>
      <c r="AK60" s="1" t="s">
        <v>171</v>
      </c>
      <c r="AL60" s="1" t="s">
        <v>78</v>
      </c>
      <c r="AM60" s="1" t="s">
        <v>49</v>
      </c>
      <c r="AN60" s="1" t="s">
        <v>138</v>
      </c>
      <c r="AO60" s="1" t="s">
        <v>150</v>
      </c>
    </row>
    <row r="61" spans="1:41" x14ac:dyDescent="0.25">
      <c r="A61" s="1" t="s">
        <v>286</v>
      </c>
      <c r="B61" s="1" t="s">
        <v>286</v>
      </c>
      <c r="C61" s="1" t="s">
        <v>663</v>
      </c>
      <c r="D61" s="1"/>
      <c r="E61" s="1" t="s">
        <v>133</v>
      </c>
      <c r="F61" s="1" t="s">
        <v>65</v>
      </c>
      <c r="G61" s="1" t="s">
        <v>53</v>
      </c>
      <c r="H61" s="1" t="s">
        <v>178</v>
      </c>
      <c r="I61" s="1" t="s">
        <v>256</v>
      </c>
      <c r="J61" s="1" t="s">
        <v>259</v>
      </c>
      <c r="K61" s="1" t="s">
        <v>548</v>
      </c>
      <c r="L61" s="1" t="s">
        <v>112</v>
      </c>
      <c r="M61" s="1" t="s">
        <v>235</v>
      </c>
      <c r="N61" s="1" t="s">
        <v>399</v>
      </c>
      <c r="O61" s="1" t="s">
        <v>119</v>
      </c>
      <c r="P61" s="1" t="s">
        <v>156</v>
      </c>
      <c r="Q61" s="1" t="s">
        <v>229</v>
      </c>
      <c r="R61" s="1" t="s">
        <v>108</v>
      </c>
      <c r="S61" s="1" t="s">
        <v>230</v>
      </c>
      <c r="T61" s="1" t="s">
        <v>195</v>
      </c>
      <c r="U61" s="1" t="s">
        <v>112</v>
      </c>
      <c r="V61" s="1" t="s">
        <v>48</v>
      </c>
      <c r="W61" s="1" t="s">
        <v>94</v>
      </c>
      <c r="X61" s="1" t="s">
        <v>138</v>
      </c>
      <c r="Y61" s="1"/>
      <c r="Z61" s="1" t="s">
        <v>267</v>
      </c>
      <c r="AA61" s="1" t="s">
        <v>411</v>
      </c>
      <c r="AB61" s="1" t="s">
        <v>664</v>
      </c>
      <c r="AC61" s="1" t="s">
        <v>124</v>
      </c>
      <c r="AD61" s="1" t="s">
        <v>211</v>
      </c>
      <c r="AE61" s="1" t="s">
        <v>392</v>
      </c>
      <c r="AF61" s="1" t="s">
        <v>108</v>
      </c>
      <c r="AG61" s="1" t="s">
        <v>119</v>
      </c>
      <c r="AH61" s="1" t="s">
        <v>466</v>
      </c>
      <c r="AI61" s="1" t="s">
        <v>92</v>
      </c>
      <c r="AJ61" s="1" t="s">
        <v>267</v>
      </c>
      <c r="AK61" s="1" t="s">
        <v>215</v>
      </c>
      <c r="AL61" s="1" t="s">
        <v>70</v>
      </c>
      <c r="AM61" s="1" t="s">
        <v>85</v>
      </c>
      <c r="AN61" s="1" t="s">
        <v>165</v>
      </c>
      <c r="AO61" s="1" t="s">
        <v>160</v>
      </c>
    </row>
    <row r="62" spans="1:41" x14ac:dyDescent="0.25">
      <c r="A62" s="1" t="s">
        <v>290</v>
      </c>
      <c r="B62" s="1" t="s">
        <v>290</v>
      </c>
      <c r="C62" s="1" t="s">
        <v>665</v>
      </c>
      <c r="D62" s="1"/>
      <c r="E62" s="1" t="s">
        <v>197</v>
      </c>
      <c r="F62" s="1" t="s">
        <v>52</v>
      </c>
      <c r="G62" s="1" t="s">
        <v>87</v>
      </c>
      <c r="H62" s="1" t="s">
        <v>106</v>
      </c>
      <c r="I62" s="1" t="s">
        <v>267</v>
      </c>
      <c r="J62" s="1" t="s">
        <v>73</v>
      </c>
      <c r="K62" s="1" t="s">
        <v>545</v>
      </c>
      <c r="L62" s="1" t="s">
        <v>108</v>
      </c>
      <c r="M62" s="1" t="s">
        <v>215</v>
      </c>
      <c r="N62" s="1" t="s">
        <v>77</v>
      </c>
      <c r="O62" s="1" t="s">
        <v>160</v>
      </c>
      <c r="P62" s="1" t="s">
        <v>175</v>
      </c>
      <c r="Q62" s="1" t="s">
        <v>666</v>
      </c>
      <c r="R62" s="1" t="s">
        <v>108</v>
      </c>
      <c r="S62" s="1" t="s">
        <v>273</v>
      </c>
      <c r="T62" s="1" t="s">
        <v>189</v>
      </c>
      <c r="U62" s="1" t="s">
        <v>94</v>
      </c>
      <c r="V62" s="1" t="s">
        <v>94</v>
      </c>
      <c r="W62" s="1" t="s">
        <v>124</v>
      </c>
      <c r="X62" s="1" t="s">
        <v>124</v>
      </c>
      <c r="Y62" s="1"/>
      <c r="Z62" s="1" t="s">
        <v>251</v>
      </c>
      <c r="AA62" s="1" t="s">
        <v>93</v>
      </c>
      <c r="AB62" s="1" t="s">
        <v>667</v>
      </c>
      <c r="AC62" s="1" t="s">
        <v>175</v>
      </c>
      <c r="AD62" s="1" t="s">
        <v>294</v>
      </c>
      <c r="AE62" s="1" t="s">
        <v>668</v>
      </c>
      <c r="AF62" s="1" t="s">
        <v>94</v>
      </c>
      <c r="AG62" s="1" t="s">
        <v>94</v>
      </c>
      <c r="AH62" s="1" t="s">
        <v>470</v>
      </c>
      <c r="AI62" s="1" t="s">
        <v>85</v>
      </c>
      <c r="AJ62" s="1" t="s">
        <v>235</v>
      </c>
      <c r="AK62" s="1" t="s">
        <v>208</v>
      </c>
      <c r="AL62" s="1" t="s">
        <v>103</v>
      </c>
      <c r="AM62" s="1" t="s">
        <v>49</v>
      </c>
      <c r="AN62" s="1" t="s">
        <v>131</v>
      </c>
      <c r="AO62" s="1" t="s">
        <v>165</v>
      </c>
    </row>
    <row r="63" spans="1:41" x14ac:dyDescent="0.25">
      <c r="A63" s="1" t="s">
        <v>291</v>
      </c>
      <c r="B63" s="1" t="s">
        <v>291</v>
      </c>
      <c r="C63" s="1" t="s">
        <v>669</v>
      </c>
      <c r="D63" s="1"/>
      <c r="E63" s="1" t="s">
        <v>197</v>
      </c>
      <c r="F63" s="1" t="s">
        <v>65</v>
      </c>
      <c r="G63" s="1" t="s">
        <v>218</v>
      </c>
      <c r="H63" s="1" t="s">
        <v>172</v>
      </c>
      <c r="I63" s="1" t="s">
        <v>220</v>
      </c>
      <c r="J63" s="1" t="s">
        <v>416</v>
      </c>
      <c r="K63" s="1" t="s">
        <v>537</v>
      </c>
      <c r="L63" s="1" t="s">
        <v>112</v>
      </c>
      <c r="M63" s="1" t="s">
        <v>195</v>
      </c>
      <c r="N63" s="1" t="s">
        <v>76</v>
      </c>
      <c r="O63" s="1" t="s">
        <v>142</v>
      </c>
      <c r="P63" s="1" t="s">
        <v>184</v>
      </c>
      <c r="Q63" s="1" t="s">
        <v>374</v>
      </c>
      <c r="R63" s="1" t="s">
        <v>78</v>
      </c>
      <c r="S63" s="1" t="s">
        <v>211</v>
      </c>
      <c r="T63" s="1" t="s">
        <v>142</v>
      </c>
      <c r="U63" s="1" t="s">
        <v>103</v>
      </c>
      <c r="V63" s="1" t="s">
        <v>50</v>
      </c>
      <c r="W63" s="1" t="s">
        <v>103</v>
      </c>
      <c r="X63" s="1" t="s">
        <v>124</v>
      </c>
      <c r="Y63" s="1"/>
      <c r="Z63" s="1" t="s">
        <v>254</v>
      </c>
      <c r="AA63" s="1" t="s">
        <v>670</v>
      </c>
      <c r="AB63" s="1" t="s">
        <v>179</v>
      </c>
      <c r="AC63" s="1" t="s">
        <v>131</v>
      </c>
      <c r="AD63" s="1" t="s">
        <v>215</v>
      </c>
      <c r="AE63" s="1" t="s">
        <v>456</v>
      </c>
      <c r="AF63" s="1" t="s">
        <v>103</v>
      </c>
      <c r="AG63" s="1" t="s">
        <v>108</v>
      </c>
      <c r="AH63" s="1" t="s">
        <v>671</v>
      </c>
      <c r="AI63" s="1" t="s">
        <v>48</v>
      </c>
      <c r="AJ63" s="1" t="s">
        <v>251</v>
      </c>
      <c r="AK63" s="1" t="s">
        <v>200</v>
      </c>
      <c r="AL63" s="1" t="s">
        <v>78</v>
      </c>
      <c r="AM63" s="1" t="s">
        <v>78</v>
      </c>
      <c r="AN63" s="1" t="s">
        <v>142</v>
      </c>
      <c r="AO63" s="1" t="s">
        <v>160</v>
      </c>
    </row>
    <row r="64" spans="1:41" x14ac:dyDescent="0.25">
      <c r="A64" s="1" t="s">
        <v>294</v>
      </c>
      <c r="B64" s="1" t="s">
        <v>294</v>
      </c>
      <c r="C64" s="1" t="s">
        <v>672</v>
      </c>
      <c r="D64" s="1" t="s">
        <v>57</v>
      </c>
      <c r="E64" s="1" t="s">
        <v>217</v>
      </c>
      <c r="F64" s="1" t="s">
        <v>65</v>
      </c>
      <c r="G64" s="1" t="s">
        <v>140</v>
      </c>
      <c r="H64" s="1" t="s">
        <v>106</v>
      </c>
      <c r="I64" s="1" t="s">
        <v>254</v>
      </c>
      <c r="J64" s="1" t="s">
        <v>301</v>
      </c>
      <c r="K64" s="1" t="s">
        <v>426</v>
      </c>
      <c r="L64" s="1" t="s">
        <v>103</v>
      </c>
      <c r="M64" s="1" t="s">
        <v>204</v>
      </c>
      <c r="N64" s="1" t="s">
        <v>77</v>
      </c>
      <c r="O64" s="1" t="s">
        <v>124</v>
      </c>
      <c r="P64" s="1" t="s">
        <v>142</v>
      </c>
      <c r="Q64" s="1" t="s">
        <v>603</v>
      </c>
      <c r="R64" s="1" t="s">
        <v>112</v>
      </c>
      <c r="S64" s="1" t="s">
        <v>260</v>
      </c>
      <c r="T64" s="1" t="s">
        <v>189</v>
      </c>
      <c r="U64" s="1" t="s">
        <v>92</v>
      </c>
      <c r="V64" s="1" t="s">
        <v>78</v>
      </c>
      <c r="W64" s="1" t="s">
        <v>138</v>
      </c>
      <c r="X64" s="1" t="s">
        <v>195</v>
      </c>
      <c r="Y64" s="1"/>
      <c r="Z64" s="1" t="s">
        <v>244</v>
      </c>
      <c r="AA64" s="1" t="s">
        <v>372</v>
      </c>
      <c r="AB64" s="1" t="s">
        <v>164</v>
      </c>
      <c r="AC64" s="1" t="s">
        <v>98</v>
      </c>
      <c r="AD64" s="1" t="s">
        <v>181</v>
      </c>
      <c r="AE64" s="1" t="s">
        <v>673</v>
      </c>
      <c r="AF64" s="1" t="s">
        <v>189</v>
      </c>
      <c r="AG64" s="1" t="s">
        <v>230</v>
      </c>
      <c r="AH64" s="1" t="s">
        <v>473</v>
      </c>
      <c r="AI64" s="1" t="s">
        <v>98</v>
      </c>
      <c r="AJ64" s="1" t="s">
        <v>239</v>
      </c>
      <c r="AK64" s="1" t="s">
        <v>175</v>
      </c>
      <c r="AL64" s="1" t="s">
        <v>108</v>
      </c>
      <c r="AM64" s="1" t="s">
        <v>78</v>
      </c>
      <c r="AN64" s="1" t="s">
        <v>112</v>
      </c>
      <c r="AO64" s="1" t="s">
        <v>131</v>
      </c>
    </row>
    <row r="65" spans="1:41" x14ac:dyDescent="0.25">
      <c r="A65" s="1" t="s">
        <v>295</v>
      </c>
      <c r="B65" s="1" t="s">
        <v>295</v>
      </c>
      <c r="C65" s="1" t="s">
        <v>674</v>
      </c>
      <c r="D65" s="1" t="s">
        <v>57</v>
      </c>
      <c r="E65" s="1" t="s">
        <v>217</v>
      </c>
      <c r="F65" s="1" t="s">
        <v>65</v>
      </c>
      <c r="G65" s="1" t="s">
        <v>73</v>
      </c>
      <c r="H65" s="1" t="s">
        <v>121</v>
      </c>
      <c r="I65" s="1" t="s">
        <v>215</v>
      </c>
      <c r="J65" s="1" t="s">
        <v>387</v>
      </c>
      <c r="K65" s="1" t="s">
        <v>83</v>
      </c>
      <c r="L65" s="1" t="s">
        <v>112</v>
      </c>
      <c r="M65" s="1" t="s">
        <v>260</v>
      </c>
      <c r="N65" s="1" t="s">
        <v>253</v>
      </c>
      <c r="O65" s="1" t="s">
        <v>131</v>
      </c>
      <c r="P65" s="1" t="s">
        <v>156</v>
      </c>
      <c r="Q65" s="1" t="s">
        <v>501</v>
      </c>
      <c r="R65" s="1" t="s">
        <v>85</v>
      </c>
      <c r="S65" s="1" t="s">
        <v>230</v>
      </c>
      <c r="T65" s="1" t="s">
        <v>171</v>
      </c>
      <c r="U65" s="1" t="s">
        <v>108</v>
      </c>
      <c r="V65" s="1" t="s">
        <v>70</v>
      </c>
      <c r="W65" s="1" t="s">
        <v>98</v>
      </c>
      <c r="X65" s="1" t="s">
        <v>171</v>
      </c>
      <c r="Y65" s="1"/>
      <c r="Z65" s="1" t="s">
        <v>239</v>
      </c>
      <c r="AA65" s="1" t="s">
        <v>427</v>
      </c>
      <c r="AB65" s="1" t="s">
        <v>567</v>
      </c>
      <c r="AC65" s="1" t="s">
        <v>119</v>
      </c>
      <c r="AD65" s="1" t="s">
        <v>204</v>
      </c>
      <c r="AE65" s="1" t="s">
        <v>534</v>
      </c>
      <c r="AF65" s="1" t="s">
        <v>156</v>
      </c>
      <c r="AG65" s="1" t="s">
        <v>184</v>
      </c>
      <c r="AH65" s="1" t="s">
        <v>555</v>
      </c>
      <c r="AI65" s="1" t="s">
        <v>103</v>
      </c>
      <c r="AJ65" s="1" t="s">
        <v>272</v>
      </c>
      <c r="AK65" s="1" t="s">
        <v>189</v>
      </c>
      <c r="AL65" s="1" t="s">
        <v>49</v>
      </c>
      <c r="AM65" s="1" t="s">
        <v>48</v>
      </c>
      <c r="AN65" s="1" t="s">
        <v>138</v>
      </c>
      <c r="AO65" s="1" t="s">
        <v>142</v>
      </c>
    </row>
    <row r="66" spans="1:41" x14ac:dyDescent="0.25">
      <c r="A66" s="1"/>
      <c r="B66" s="1"/>
      <c r="C66" s="1"/>
      <c r="D66" s="1"/>
      <c r="E66" s="1"/>
      <c r="F66" s="1"/>
      <c r="G66" s="1"/>
      <c r="H66" s="1"/>
      <c r="I66" s="1" t="s">
        <v>1</v>
      </c>
      <c r="J66" s="1" t="s">
        <v>1</v>
      </c>
      <c r="K66" s="1" t="s">
        <v>1</v>
      </c>
      <c r="L66" s="1" t="s">
        <v>1</v>
      </c>
      <c r="M66" s="1" t="s">
        <v>1</v>
      </c>
      <c r="N66" s="1" t="s">
        <v>1</v>
      </c>
      <c r="O66" s="1" t="s">
        <v>1</v>
      </c>
      <c r="P66" s="1" t="s">
        <v>1</v>
      </c>
      <c r="Q66" s="1" t="s">
        <v>1</v>
      </c>
      <c r="R66" s="1" t="s">
        <v>1</v>
      </c>
      <c r="S66" s="1" t="s">
        <v>1</v>
      </c>
      <c r="T66" s="1" t="s">
        <v>1</v>
      </c>
      <c r="U66" s="1" t="s">
        <v>1</v>
      </c>
      <c r="V66" s="1" t="s">
        <v>1</v>
      </c>
      <c r="W66" s="1" t="s">
        <v>1</v>
      </c>
      <c r="X66" s="1" t="s">
        <v>1</v>
      </c>
      <c r="Y66" s="1"/>
      <c r="Z66" s="1" t="s">
        <v>701</v>
      </c>
      <c r="AA66" s="1" t="s">
        <v>701</v>
      </c>
      <c r="AB66" s="1" t="s">
        <v>701</v>
      </c>
      <c r="AC66" s="1" t="s">
        <v>701</v>
      </c>
      <c r="AD66" s="1" t="s">
        <v>701</v>
      </c>
      <c r="AE66" s="1" t="s">
        <v>701</v>
      </c>
      <c r="AF66" s="1" t="s">
        <v>701</v>
      </c>
      <c r="AG66" s="1" t="s">
        <v>701</v>
      </c>
      <c r="AH66" s="1" t="s">
        <v>701</v>
      </c>
      <c r="AI66" s="1" t="s">
        <v>701</v>
      </c>
      <c r="AJ66" s="1" t="s">
        <v>701</v>
      </c>
      <c r="AK66" s="1" t="s">
        <v>701</v>
      </c>
      <c r="AL66" s="1" t="s">
        <v>701</v>
      </c>
      <c r="AM66" s="1" t="s">
        <v>701</v>
      </c>
      <c r="AN66" s="1" t="s">
        <v>701</v>
      </c>
      <c r="AO66" s="1" t="s">
        <v>701</v>
      </c>
    </row>
    <row r="67" spans="1:41" x14ac:dyDescent="0.25">
      <c r="A67" s="1" t="s">
        <v>40</v>
      </c>
      <c r="B67" s="1" t="s">
        <v>41</v>
      </c>
      <c r="C67" s="1" t="s">
        <v>42</v>
      </c>
      <c r="D67" s="1" t="s">
        <v>702</v>
      </c>
      <c r="E67" s="1" t="s">
        <v>44</v>
      </c>
      <c r="F67" s="1" t="s">
        <v>45</v>
      </c>
      <c r="G67" s="1" t="s">
        <v>46</v>
      </c>
      <c r="H67" s="1" t="s">
        <v>44</v>
      </c>
      <c r="I67" s="1" t="s">
        <v>703</v>
      </c>
      <c r="J67" s="1" t="s">
        <v>704</v>
      </c>
      <c r="K67" s="1" t="s">
        <v>705</v>
      </c>
      <c r="L67" s="1" t="s">
        <v>706</v>
      </c>
      <c r="M67" s="1" t="s">
        <v>707</v>
      </c>
      <c r="N67" s="1" t="s">
        <v>708</v>
      </c>
      <c r="O67" s="1" t="s">
        <v>709</v>
      </c>
      <c r="P67" s="1" t="s">
        <v>710</v>
      </c>
      <c r="Q67" s="1" t="s">
        <v>711</v>
      </c>
      <c r="R67" s="1" t="s">
        <v>712</v>
      </c>
      <c r="S67" s="1" t="s">
        <v>713</v>
      </c>
      <c r="T67" s="1" t="s">
        <v>714</v>
      </c>
      <c r="U67" s="1" t="s">
        <v>715</v>
      </c>
      <c r="V67" s="1" t="s">
        <v>716</v>
      </c>
      <c r="W67" s="1" t="s">
        <v>717</v>
      </c>
      <c r="X67" s="1" t="s">
        <v>718</v>
      </c>
      <c r="Y67" s="1" t="s">
        <v>702</v>
      </c>
      <c r="Z67" s="1" t="s">
        <v>703</v>
      </c>
      <c r="AA67" s="1" t="s">
        <v>704</v>
      </c>
      <c r="AB67" s="1" t="s">
        <v>705</v>
      </c>
      <c r="AC67" s="1" t="s">
        <v>706</v>
      </c>
      <c r="AD67" s="1" t="s">
        <v>707</v>
      </c>
      <c r="AE67" s="1" t="s">
        <v>708</v>
      </c>
      <c r="AF67" s="1" t="s">
        <v>709</v>
      </c>
      <c r="AG67" s="1" t="s">
        <v>710</v>
      </c>
      <c r="AH67" s="1" t="s">
        <v>711</v>
      </c>
      <c r="AI67" s="1" t="s">
        <v>712</v>
      </c>
      <c r="AJ67" s="1" t="s">
        <v>713</v>
      </c>
      <c r="AK67" s="1" t="s">
        <v>714</v>
      </c>
      <c r="AL67" s="1" t="s">
        <v>715</v>
      </c>
      <c r="AM67" s="1" t="s">
        <v>716</v>
      </c>
      <c r="AN67" s="1" t="s">
        <v>717</v>
      </c>
      <c r="AO67" s="1" t="s">
        <v>718</v>
      </c>
    </row>
    <row r="68" spans="1:41" x14ac:dyDescent="0.25">
      <c r="A68" s="1" t="s">
        <v>300</v>
      </c>
      <c r="B68" s="1" t="s">
        <v>300</v>
      </c>
      <c r="C68" s="1" t="s">
        <v>675</v>
      </c>
      <c r="D68" s="1" t="s">
        <v>57</v>
      </c>
      <c r="E68" s="1" t="s">
        <v>79</v>
      </c>
      <c r="F68" s="1" t="s">
        <v>52</v>
      </c>
      <c r="G68" s="1" t="s">
        <v>145</v>
      </c>
      <c r="H68" s="1" t="s">
        <v>105</v>
      </c>
      <c r="I68" s="1" t="s">
        <v>264</v>
      </c>
      <c r="J68" s="1" t="s">
        <v>404</v>
      </c>
      <c r="K68" s="1" t="s">
        <v>382</v>
      </c>
      <c r="L68" s="1" t="s">
        <v>108</v>
      </c>
      <c r="M68" s="1" t="s">
        <v>208</v>
      </c>
      <c r="N68" s="1" t="s">
        <v>511</v>
      </c>
      <c r="O68" s="1" t="s">
        <v>98</v>
      </c>
      <c r="P68" s="1" t="s">
        <v>124</v>
      </c>
      <c r="Q68" s="1" t="s">
        <v>571</v>
      </c>
      <c r="R68" s="1" t="s">
        <v>98</v>
      </c>
      <c r="S68" s="1" t="s">
        <v>256</v>
      </c>
      <c r="T68" s="1" t="s">
        <v>175</v>
      </c>
      <c r="U68" s="1" t="s">
        <v>94</v>
      </c>
      <c r="V68" s="1" t="s">
        <v>78</v>
      </c>
      <c r="W68" s="1" t="s">
        <v>108</v>
      </c>
      <c r="X68" s="1" t="s">
        <v>150</v>
      </c>
      <c r="Y68" s="1"/>
      <c r="Z68" s="1" t="s">
        <v>230</v>
      </c>
      <c r="AA68" s="1" t="s">
        <v>370</v>
      </c>
      <c r="AB68" s="1" t="s">
        <v>601</v>
      </c>
      <c r="AC68" s="1" t="s">
        <v>108</v>
      </c>
      <c r="AD68" s="1" t="s">
        <v>184</v>
      </c>
      <c r="AE68" s="1" t="s">
        <v>509</v>
      </c>
      <c r="AF68" s="1" t="s">
        <v>160</v>
      </c>
      <c r="AG68" s="1" t="s">
        <v>181</v>
      </c>
      <c r="AH68" s="1" t="s">
        <v>412</v>
      </c>
      <c r="AI68" s="1" t="s">
        <v>70</v>
      </c>
      <c r="AJ68" s="1" t="s">
        <v>195</v>
      </c>
      <c r="AK68" s="1" t="s">
        <v>138</v>
      </c>
      <c r="AL68" s="1" t="s">
        <v>78</v>
      </c>
      <c r="AM68" s="1" t="s">
        <v>49</v>
      </c>
      <c r="AN68" s="1" t="s">
        <v>108</v>
      </c>
      <c r="AO68" s="1" t="s">
        <v>150</v>
      </c>
    </row>
    <row r="69" spans="1:41" x14ac:dyDescent="0.25">
      <c r="A69" s="1" t="s">
        <v>302</v>
      </c>
      <c r="B69" s="1" t="s">
        <v>302</v>
      </c>
      <c r="C69" s="1" t="s">
        <v>676</v>
      </c>
      <c r="D69" s="1" t="s">
        <v>57</v>
      </c>
      <c r="E69" s="1" t="s">
        <v>51</v>
      </c>
      <c r="F69" s="1" t="s">
        <v>65</v>
      </c>
      <c r="G69" s="1" t="s">
        <v>54</v>
      </c>
      <c r="H69" s="1" t="s">
        <v>80</v>
      </c>
      <c r="I69" s="1" t="s">
        <v>251</v>
      </c>
      <c r="J69" s="1" t="s">
        <v>245</v>
      </c>
      <c r="K69" s="1" t="s">
        <v>392</v>
      </c>
      <c r="L69" s="1" t="s">
        <v>103</v>
      </c>
      <c r="M69" s="1" t="s">
        <v>220</v>
      </c>
      <c r="N69" s="1" t="s">
        <v>159</v>
      </c>
      <c r="O69" s="1" t="s">
        <v>119</v>
      </c>
      <c r="P69" s="1" t="s">
        <v>165</v>
      </c>
      <c r="Q69" s="1" t="s">
        <v>580</v>
      </c>
      <c r="R69" s="1" t="s">
        <v>119</v>
      </c>
      <c r="S69" s="1" t="s">
        <v>247</v>
      </c>
      <c r="T69" s="1" t="s">
        <v>208</v>
      </c>
      <c r="U69" s="1" t="s">
        <v>103</v>
      </c>
      <c r="V69" s="1" t="s">
        <v>94</v>
      </c>
      <c r="W69" s="1" t="s">
        <v>103</v>
      </c>
      <c r="X69" s="1" t="s">
        <v>160</v>
      </c>
      <c r="Y69" s="1"/>
      <c r="Z69" s="1" t="s">
        <v>264</v>
      </c>
      <c r="AA69" s="1" t="s">
        <v>301</v>
      </c>
      <c r="AB69" s="1" t="s">
        <v>638</v>
      </c>
      <c r="AC69" s="1" t="s">
        <v>85</v>
      </c>
      <c r="AD69" s="1" t="s">
        <v>150</v>
      </c>
      <c r="AE69" s="1" t="s">
        <v>77</v>
      </c>
      <c r="AF69" s="1" t="s">
        <v>138</v>
      </c>
      <c r="AG69" s="1" t="s">
        <v>165</v>
      </c>
      <c r="AH69" s="1" t="s">
        <v>677</v>
      </c>
      <c r="AI69" s="1" t="s">
        <v>103</v>
      </c>
      <c r="AJ69" s="1" t="s">
        <v>270</v>
      </c>
      <c r="AK69" s="1" t="s">
        <v>181</v>
      </c>
      <c r="AL69" s="1" t="s">
        <v>85</v>
      </c>
      <c r="AM69" s="1" t="s">
        <v>70</v>
      </c>
      <c r="AN69" s="1" t="s">
        <v>119</v>
      </c>
      <c r="AO69" s="1" t="s">
        <v>160</v>
      </c>
    </row>
    <row r="70" spans="1:41" x14ac:dyDescent="0.25">
      <c r="A70" s="1" t="s">
        <v>305</v>
      </c>
      <c r="B70" s="1" t="s">
        <v>305</v>
      </c>
      <c r="C70" s="1" t="s">
        <v>306</v>
      </c>
      <c r="D70" s="1"/>
      <c r="E70" s="1" t="s">
        <v>186</v>
      </c>
      <c r="F70" s="1" t="s">
        <v>65</v>
      </c>
      <c r="G70" s="1" t="s">
        <v>128</v>
      </c>
      <c r="H70" s="1" t="s">
        <v>140</v>
      </c>
      <c r="I70" s="1" t="s">
        <v>251</v>
      </c>
      <c r="J70" s="1" t="s">
        <v>303</v>
      </c>
      <c r="K70" s="1" t="s">
        <v>146</v>
      </c>
      <c r="L70" s="1" t="s">
        <v>92</v>
      </c>
      <c r="M70" s="1" t="s">
        <v>195</v>
      </c>
      <c r="N70" s="1" t="s">
        <v>61</v>
      </c>
      <c r="O70" s="1" t="s">
        <v>131</v>
      </c>
      <c r="P70" s="1" t="s">
        <v>165</v>
      </c>
      <c r="Q70" s="1" t="s">
        <v>435</v>
      </c>
      <c r="R70" s="1" t="s">
        <v>108</v>
      </c>
      <c r="S70" s="1" t="s">
        <v>254</v>
      </c>
      <c r="T70" s="1" t="s">
        <v>181</v>
      </c>
      <c r="U70" s="1" t="s">
        <v>98</v>
      </c>
      <c r="V70" s="1" t="s">
        <v>112</v>
      </c>
      <c r="W70" s="1" t="s">
        <v>165</v>
      </c>
      <c r="X70" s="1" t="s">
        <v>142</v>
      </c>
      <c r="Y70" s="1"/>
      <c r="Z70" s="1" t="s">
        <v>240</v>
      </c>
      <c r="AA70" s="1" t="s">
        <v>387</v>
      </c>
      <c r="AB70" s="1" t="s">
        <v>210</v>
      </c>
      <c r="AC70" s="1" t="s">
        <v>112</v>
      </c>
      <c r="AD70" s="1" t="s">
        <v>215</v>
      </c>
      <c r="AE70" s="1" t="s">
        <v>394</v>
      </c>
      <c r="AF70" s="1" t="s">
        <v>160</v>
      </c>
      <c r="AG70" s="1" t="s">
        <v>171</v>
      </c>
      <c r="AH70" s="1" t="s">
        <v>671</v>
      </c>
      <c r="AI70" s="1" t="s">
        <v>108</v>
      </c>
      <c r="AJ70" s="1" t="s">
        <v>235</v>
      </c>
      <c r="AK70" s="1" t="s">
        <v>200</v>
      </c>
      <c r="AL70" s="1" t="s">
        <v>103</v>
      </c>
      <c r="AM70" s="1" t="s">
        <v>49</v>
      </c>
      <c r="AN70" s="1" t="s">
        <v>142</v>
      </c>
      <c r="AO70" s="1" t="s">
        <v>138</v>
      </c>
    </row>
    <row r="71" spans="1:41" x14ac:dyDescent="0.25">
      <c r="A71" s="1" t="s">
        <v>310</v>
      </c>
      <c r="B71" s="1" t="s">
        <v>310</v>
      </c>
      <c r="C71" s="1" t="s">
        <v>311</v>
      </c>
      <c r="D71" s="1"/>
      <c r="E71" s="1" t="s">
        <v>71</v>
      </c>
      <c r="F71" s="1" t="s">
        <v>65</v>
      </c>
      <c r="G71" s="1" t="s">
        <v>145</v>
      </c>
      <c r="H71" s="1" t="s">
        <v>178</v>
      </c>
      <c r="I71" s="1" t="s">
        <v>247</v>
      </c>
      <c r="J71" s="1" t="s">
        <v>411</v>
      </c>
      <c r="K71" s="1" t="s">
        <v>129</v>
      </c>
      <c r="L71" s="1" t="s">
        <v>108</v>
      </c>
      <c r="M71" s="1" t="s">
        <v>200</v>
      </c>
      <c r="N71" s="1" t="s">
        <v>602</v>
      </c>
      <c r="O71" s="1" t="s">
        <v>165</v>
      </c>
      <c r="P71" s="1" t="s">
        <v>208</v>
      </c>
      <c r="Q71" s="1" t="s">
        <v>563</v>
      </c>
      <c r="R71" s="1" t="s">
        <v>92</v>
      </c>
      <c r="S71" s="1" t="s">
        <v>256</v>
      </c>
      <c r="T71" s="1" t="s">
        <v>211</v>
      </c>
      <c r="U71" s="1" t="s">
        <v>92</v>
      </c>
      <c r="V71" s="1" t="s">
        <v>85</v>
      </c>
      <c r="W71" s="1" t="s">
        <v>124</v>
      </c>
      <c r="X71" s="1" t="s">
        <v>171</v>
      </c>
      <c r="Y71" s="1"/>
      <c r="Z71" s="1" t="s">
        <v>251</v>
      </c>
      <c r="AA71" s="1" t="s">
        <v>66</v>
      </c>
      <c r="AB71" s="1" t="s">
        <v>243</v>
      </c>
      <c r="AC71" s="1" t="s">
        <v>131</v>
      </c>
      <c r="AD71" s="1" t="s">
        <v>239</v>
      </c>
      <c r="AE71" s="1" t="s">
        <v>202</v>
      </c>
      <c r="AF71" s="1" t="s">
        <v>171</v>
      </c>
      <c r="AG71" s="1" t="s">
        <v>208</v>
      </c>
      <c r="AH71" s="1" t="s">
        <v>475</v>
      </c>
      <c r="AI71" s="1" t="s">
        <v>119</v>
      </c>
      <c r="AJ71" s="1" t="s">
        <v>269</v>
      </c>
      <c r="AK71" s="1" t="s">
        <v>181</v>
      </c>
      <c r="AL71" s="1" t="s">
        <v>108</v>
      </c>
      <c r="AM71" s="1" t="s">
        <v>70</v>
      </c>
      <c r="AN71" s="1" t="s">
        <v>112</v>
      </c>
      <c r="AO71" s="1" t="s">
        <v>175</v>
      </c>
    </row>
    <row r="72" spans="1:41" x14ac:dyDescent="0.25">
      <c r="A72" s="1" t="s">
        <v>312</v>
      </c>
      <c r="B72" s="1" t="s">
        <v>312</v>
      </c>
      <c r="C72" s="1" t="s">
        <v>678</v>
      </c>
      <c r="D72" s="1"/>
      <c r="E72" s="1" t="s">
        <v>104</v>
      </c>
      <c r="F72" s="1" t="s">
        <v>52</v>
      </c>
      <c r="G72" s="1" t="s">
        <v>73</v>
      </c>
      <c r="H72" s="1" t="s">
        <v>60</v>
      </c>
      <c r="I72" s="1" t="s">
        <v>211</v>
      </c>
      <c r="J72" s="1" t="s">
        <v>510</v>
      </c>
      <c r="K72" s="1" t="s">
        <v>392</v>
      </c>
      <c r="L72" s="1" t="s">
        <v>119</v>
      </c>
      <c r="M72" s="1" t="s">
        <v>204</v>
      </c>
      <c r="N72" s="1" t="s">
        <v>534</v>
      </c>
      <c r="O72" s="1" t="s">
        <v>138</v>
      </c>
      <c r="P72" s="1" t="s">
        <v>175</v>
      </c>
      <c r="Q72" s="1" t="s">
        <v>583</v>
      </c>
      <c r="R72" s="1" t="s">
        <v>92</v>
      </c>
      <c r="S72" s="1" t="s">
        <v>254</v>
      </c>
      <c r="T72" s="1" t="s">
        <v>150</v>
      </c>
      <c r="U72" s="1" t="s">
        <v>78</v>
      </c>
      <c r="V72" s="1" t="s">
        <v>94</v>
      </c>
      <c r="W72" s="1" t="s">
        <v>160</v>
      </c>
      <c r="X72" s="1" t="s">
        <v>160</v>
      </c>
      <c r="Y72" s="1"/>
      <c r="Z72" s="1" t="s">
        <v>230</v>
      </c>
      <c r="AA72" s="1" t="s">
        <v>372</v>
      </c>
      <c r="AB72" s="1" t="s">
        <v>679</v>
      </c>
      <c r="AC72" s="1" t="s">
        <v>85</v>
      </c>
      <c r="AD72" s="1" t="s">
        <v>181</v>
      </c>
      <c r="AE72" s="1" t="s">
        <v>61</v>
      </c>
      <c r="AF72" s="1" t="s">
        <v>108</v>
      </c>
      <c r="AG72" s="1" t="s">
        <v>138</v>
      </c>
      <c r="AH72" s="1" t="s">
        <v>538</v>
      </c>
      <c r="AI72" s="1" t="s">
        <v>85</v>
      </c>
      <c r="AJ72" s="1" t="s">
        <v>247</v>
      </c>
      <c r="AK72" s="1" t="s">
        <v>171</v>
      </c>
      <c r="AL72" s="1" t="s">
        <v>103</v>
      </c>
      <c r="AM72" s="1" t="s">
        <v>92</v>
      </c>
      <c r="AN72" s="1" t="s">
        <v>112</v>
      </c>
      <c r="AO72" s="1" t="s">
        <v>181</v>
      </c>
    </row>
    <row r="73" spans="1:41" x14ac:dyDescent="0.25">
      <c r="A73" s="1" t="s">
        <v>314</v>
      </c>
      <c r="B73" s="1" t="s">
        <v>314</v>
      </c>
      <c r="C73" s="1" t="s">
        <v>550</v>
      </c>
      <c r="D73" s="1" t="s">
        <v>57</v>
      </c>
      <c r="E73" s="1" t="s">
        <v>263</v>
      </c>
      <c r="F73" s="1" t="s">
        <v>65</v>
      </c>
      <c r="G73" s="1" t="s">
        <v>66</v>
      </c>
      <c r="H73" s="1" t="s">
        <v>67</v>
      </c>
      <c r="I73" s="1" t="s">
        <v>215</v>
      </c>
      <c r="J73" s="1" t="s">
        <v>404</v>
      </c>
      <c r="K73" s="1" t="s">
        <v>602</v>
      </c>
      <c r="L73" s="1" t="s">
        <v>103</v>
      </c>
      <c r="M73" s="1" t="s">
        <v>230</v>
      </c>
      <c r="N73" s="1" t="s">
        <v>652</v>
      </c>
      <c r="O73" s="1" t="s">
        <v>150</v>
      </c>
      <c r="P73" s="1" t="s">
        <v>200</v>
      </c>
      <c r="Q73" s="1" t="s">
        <v>154</v>
      </c>
      <c r="R73" s="1" t="s">
        <v>108</v>
      </c>
      <c r="S73" s="1" t="s">
        <v>220</v>
      </c>
      <c r="T73" s="1" t="s">
        <v>165</v>
      </c>
      <c r="U73" s="1" t="s">
        <v>94</v>
      </c>
      <c r="V73" s="1" t="s">
        <v>85</v>
      </c>
      <c r="W73" s="1" t="s">
        <v>103</v>
      </c>
      <c r="X73" s="1" t="s">
        <v>175</v>
      </c>
      <c r="Y73" s="1"/>
      <c r="Z73" s="1" t="s">
        <v>247</v>
      </c>
      <c r="AA73" s="1" t="s">
        <v>472</v>
      </c>
      <c r="AB73" s="1" t="s">
        <v>279</v>
      </c>
      <c r="AC73" s="1" t="s">
        <v>119</v>
      </c>
      <c r="AD73" s="1" t="s">
        <v>208</v>
      </c>
      <c r="AE73" s="1" t="s">
        <v>455</v>
      </c>
      <c r="AF73" s="1" t="s">
        <v>175</v>
      </c>
      <c r="AG73" s="1" t="s">
        <v>189</v>
      </c>
      <c r="AH73" s="1" t="s">
        <v>680</v>
      </c>
      <c r="AI73" s="1" t="s">
        <v>98</v>
      </c>
      <c r="AJ73" s="1" t="s">
        <v>267</v>
      </c>
      <c r="AK73" s="1" t="s">
        <v>175</v>
      </c>
      <c r="AL73" s="1" t="s">
        <v>70</v>
      </c>
      <c r="AM73" s="1" t="s">
        <v>78</v>
      </c>
      <c r="AN73" s="1" t="s">
        <v>171</v>
      </c>
      <c r="AO73" s="1" t="s">
        <v>184</v>
      </c>
    </row>
    <row r="74" spans="1:41" x14ac:dyDescent="0.25">
      <c r="A74" s="1" t="s">
        <v>316</v>
      </c>
      <c r="B74" s="1" t="s">
        <v>316</v>
      </c>
      <c r="C74" s="1" t="s">
        <v>681</v>
      </c>
      <c r="D74" s="1" t="s">
        <v>57</v>
      </c>
      <c r="E74" s="1" t="s">
        <v>176</v>
      </c>
      <c r="F74" s="1" t="s">
        <v>65</v>
      </c>
      <c r="G74" s="1" t="s">
        <v>93</v>
      </c>
      <c r="H74" s="1" t="s">
        <v>128</v>
      </c>
      <c r="I74" s="1" t="s">
        <v>235</v>
      </c>
      <c r="J74" s="1" t="s">
        <v>60</v>
      </c>
      <c r="K74" s="1" t="s">
        <v>667</v>
      </c>
      <c r="L74" s="1" t="s">
        <v>108</v>
      </c>
      <c r="M74" s="1" t="s">
        <v>204</v>
      </c>
      <c r="N74" s="1" t="s">
        <v>460</v>
      </c>
      <c r="O74" s="1" t="s">
        <v>138</v>
      </c>
      <c r="P74" s="1" t="s">
        <v>171</v>
      </c>
      <c r="Q74" s="1" t="s">
        <v>489</v>
      </c>
      <c r="R74" s="1" t="s">
        <v>103</v>
      </c>
      <c r="S74" s="1" t="s">
        <v>269</v>
      </c>
      <c r="T74" s="1" t="s">
        <v>156</v>
      </c>
      <c r="U74" s="1" t="s">
        <v>48</v>
      </c>
      <c r="V74" s="1" t="s">
        <v>70</v>
      </c>
      <c r="W74" s="1" t="s">
        <v>124</v>
      </c>
      <c r="X74" s="1" t="s">
        <v>160</v>
      </c>
      <c r="Y74" s="1"/>
      <c r="Z74" s="1" t="s">
        <v>235</v>
      </c>
      <c r="AA74" s="1" t="s">
        <v>419</v>
      </c>
      <c r="AB74" s="1" t="s">
        <v>623</v>
      </c>
      <c r="AC74" s="1" t="s">
        <v>112</v>
      </c>
      <c r="AD74" s="1" t="s">
        <v>235</v>
      </c>
      <c r="AE74" s="1" t="s">
        <v>399</v>
      </c>
      <c r="AF74" s="1" t="s">
        <v>160</v>
      </c>
      <c r="AG74" s="1" t="s">
        <v>165</v>
      </c>
      <c r="AH74" s="1" t="s">
        <v>408</v>
      </c>
      <c r="AI74" s="1" t="s">
        <v>85</v>
      </c>
      <c r="AJ74" s="1" t="s">
        <v>256</v>
      </c>
      <c r="AK74" s="1" t="s">
        <v>171</v>
      </c>
      <c r="AL74" s="1" t="s">
        <v>85</v>
      </c>
      <c r="AM74" s="1" t="s">
        <v>48</v>
      </c>
      <c r="AN74" s="1" t="s">
        <v>94</v>
      </c>
      <c r="AO74" s="1" t="s">
        <v>160</v>
      </c>
    </row>
    <row r="75" spans="1:41" x14ac:dyDescent="0.25">
      <c r="A75" s="1" t="s">
        <v>318</v>
      </c>
      <c r="B75" s="1" t="s">
        <v>318</v>
      </c>
      <c r="C75" s="1" t="s">
        <v>682</v>
      </c>
      <c r="D75" s="1"/>
      <c r="E75" s="1" t="s">
        <v>192</v>
      </c>
      <c r="F75" s="1" t="s">
        <v>52</v>
      </c>
      <c r="G75" s="1" t="s">
        <v>198</v>
      </c>
      <c r="H75" s="1" t="s">
        <v>140</v>
      </c>
      <c r="I75" s="1" t="s">
        <v>240</v>
      </c>
      <c r="J75" s="1" t="s">
        <v>459</v>
      </c>
      <c r="K75" s="1" t="s">
        <v>164</v>
      </c>
      <c r="L75" s="1" t="s">
        <v>119</v>
      </c>
      <c r="M75" s="1" t="s">
        <v>204</v>
      </c>
      <c r="N75" s="1" t="s">
        <v>534</v>
      </c>
      <c r="O75" s="1" t="s">
        <v>211</v>
      </c>
      <c r="P75" s="1" t="s">
        <v>247</v>
      </c>
      <c r="Q75" s="1" t="s">
        <v>683</v>
      </c>
      <c r="R75" s="1" t="s">
        <v>124</v>
      </c>
      <c r="S75" s="1" t="s">
        <v>247</v>
      </c>
      <c r="T75" s="1" t="s">
        <v>181</v>
      </c>
      <c r="U75" s="1" t="s">
        <v>108</v>
      </c>
      <c r="V75" s="1" t="s">
        <v>49</v>
      </c>
      <c r="W75" s="1" t="s">
        <v>119</v>
      </c>
      <c r="X75" s="1" t="s">
        <v>165</v>
      </c>
      <c r="Y75" s="1"/>
      <c r="Z75" s="1" t="s">
        <v>240</v>
      </c>
      <c r="AA75" s="1" t="s">
        <v>510</v>
      </c>
      <c r="AB75" s="1" t="s">
        <v>684</v>
      </c>
      <c r="AC75" s="1" t="s">
        <v>108</v>
      </c>
      <c r="AD75" s="1" t="s">
        <v>184</v>
      </c>
      <c r="AE75" s="1" t="s">
        <v>509</v>
      </c>
      <c r="AF75" s="1" t="s">
        <v>165</v>
      </c>
      <c r="AG75" s="1" t="s">
        <v>184</v>
      </c>
      <c r="AH75" s="1" t="s">
        <v>540</v>
      </c>
      <c r="AI75" s="1" t="s">
        <v>49</v>
      </c>
      <c r="AJ75" s="1" t="s">
        <v>211</v>
      </c>
      <c r="AK75" s="1" t="s">
        <v>175</v>
      </c>
      <c r="AL75" s="1" t="s">
        <v>94</v>
      </c>
      <c r="AM75" s="1" t="s">
        <v>85</v>
      </c>
      <c r="AN75" s="1" t="s">
        <v>131</v>
      </c>
      <c r="AO75" s="1" t="s">
        <v>200</v>
      </c>
    </row>
    <row r="76" spans="1:41" x14ac:dyDescent="0.25">
      <c r="A76" s="1" t="s">
        <v>321</v>
      </c>
      <c r="B76" s="1" t="s">
        <v>321</v>
      </c>
      <c r="C76" s="1" t="s">
        <v>322</v>
      </c>
      <c r="D76" s="1"/>
      <c r="E76" s="1" t="s">
        <v>58</v>
      </c>
      <c r="F76" s="1" t="s">
        <v>52</v>
      </c>
      <c r="G76" s="1" t="s">
        <v>93</v>
      </c>
      <c r="H76" s="1" t="s">
        <v>242</v>
      </c>
      <c r="I76" s="1" t="s">
        <v>235</v>
      </c>
      <c r="J76" s="1" t="s">
        <v>60</v>
      </c>
      <c r="K76" s="1" t="s">
        <v>667</v>
      </c>
      <c r="L76" s="1" t="s">
        <v>112</v>
      </c>
      <c r="M76" s="1" t="s">
        <v>195</v>
      </c>
      <c r="N76" s="1" t="s">
        <v>76</v>
      </c>
      <c r="O76" s="1" t="s">
        <v>131</v>
      </c>
      <c r="P76" s="1" t="s">
        <v>156</v>
      </c>
      <c r="Q76" s="1" t="s">
        <v>501</v>
      </c>
      <c r="R76" s="1" t="s">
        <v>124</v>
      </c>
      <c r="S76" s="1" t="s">
        <v>275</v>
      </c>
      <c r="T76" s="1" t="s">
        <v>208</v>
      </c>
      <c r="U76" s="1" t="s">
        <v>78</v>
      </c>
      <c r="V76" s="1" t="s">
        <v>78</v>
      </c>
      <c r="W76" s="1" t="s">
        <v>150</v>
      </c>
      <c r="X76" s="1" t="s">
        <v>142</v>
      </c>
      <c r="Y76" s="1"/>
      <c r="Z76" s="1" t="s">
        <v>220</v>
      </c>
      <c r="AA76" s="1" t="s">
        <v>404</v>
      </c>
      <c r="AB76" s="1" t="s">
        <v>110</v>
      </c>
      <c r="AC76" s="1" t="s">
        <v>103</v>
      </c>
      <c r="AD76" s="1" t="s">
        <v>200</v>
      </c>
      <c r="AE76" s="1" t="s">
        <v>55</v>
      </c>
      <c r="AF76" s="1" t="s">
        <v>165</v>
      </c>
      <c r="AG76" s="1" t="s">
        <v>175</v>
      </c>
      <c r="AH76" s="1" t="s">
        <v>504</v>
      </c>
      <c r="AI76" s="1" t="s">
        <v>78</v>
      </c>
      <c r="AJ76" s="1" t="s">
        <v>247</v>
      </c>
      <c r="AK76" s="1" t="s">
        <v>156</v>
      </c>
      <c r="AL76" s="1" t="s">
        <v>94</v>
      </c>
      <c r="AM76" s="1" t="s">
        <v>49</v>
      </c>
      <c r="AN76" s="1" t="s">
        <v>98</v>
      </c>
      <c r="AO76" s="1" t="s">
        <v>165</v>
      </c>
    </row>
    <row r="77" spans="1:41" x14ac:dyDescent="0.25">
      <c r="A77" s="1" t="s">
        <v>324</v>
      </c>
      <c r="B77" s="1" t="s">
        <v>324</v>
      </c>
      <c r="C77" s="1" t="s">
        <v>557</v>
      </c>
      <c r="D77" s="1"/>
      <c r="E77" s="1" t="s">
        <v>201</v>
      </c>
      <c r="F77" s="1" t="s">
        <v>52</v>
      </c>
      <c r="G77" s="1" t="s">
        <v>183</v>
      </c>
      <c r="H77" s="1" t="s">
        <v>100</v>
      </c>
      <c r="I77" s="1" t="s">
        <v>273</v>
      </c>
      <c r="J77" s="1" t="s">
        <v>423</v>
      </c>
      <c r="K77" s="1" t="s">
        <v>685</v>
      </c>
      <c r="L77" s="1" t="s">
        <v>92</v>
      </c>
      <c r="M77" s="1" t="s">
        <v>160</v>
      </c>
      <c r="N77" s="1" t="s">
        <v>565</v>
      </c>
      <c r="O77" s="1" t="s">
        <v>119</v>
      </c>
      <c r="P77" s="1" t="s">
        <v>171</v>
      </c>
      <c r="Q77" s="1" t="s">
        <v>686</v>
      </c>
      <c r="R77" s="1" t="s">
        <v>94</v>
      </c>
      <c r="S77" s="1" t="s">
        <v>247</v>
      </c>
      <c r="T77" s="1" t="s">
        <v>195</v>
      </c>
      <c r="U77" s="1" t="s">
        <v>94</v>
      </c>
      <c r="V77" s="1" t="s">
        <v>49</v>
      </c>
      <c r="W77" s="1" t="s">
        <v>108</v>
      </c>
      <c r="X77" s="1" t="s">
        <v>160</v>
      </c>
      <c r="Y77" s="1"/>
      <c r="Z77" s="1" t="s">
        <v>254</v>
      </c>
      <c r="AA77" s="1" t="s">
        <v>411</v>
      </c>
      <c r="AB77" s="1" t="s">
        <v>146</v>
      </c>
      <c r="AC77" s="1" t="s">
        <v>150</v>
      </c>
      <c r="AD77" s="1" t="s">
        <v>251</v>
      </c>
      <c r="AE77" s="1" t="s">
        <v>76</v>
      </c>
      <c r="AF77" s="1" t="s">
        <v>150</v>
      </c>
      <c r="AG77" s="1" t="s">
        <v>190</v>
      </c>
      <c r="AH77" s="1" t="s">
        <v>418</v>
      </c>
      <c r="AI77" s="1" t="s">
        <v>94</v>
      </c>
      <c r="AJ77" s="1" t="s">
        <v>247</v>
      </c>
      <c r="AK77" s="1" t="s">
        <v>215</v>
      </c>
      <c r="AL77" s="1" t="s">
        <v>92</v>
      </c>
      <c r="AM77" s="1" t="s">
        <v>70</v>
      </c>
      <c r="AN77" s="1" t="s">
        <v>131</v>
      </c>
      <c r="AO77" s="1" t="s">
        <v>175</v>
      </c>
    </row>
    <row r="78" spans="1:41" x14ac:dyDescent="0.25">
      <c r="A78" s="1" t="s">
        <v>325</v>
      </c>
      <c r="B78" s="1" t="s">
        <v>325</v>
      </c>
      <c r="C78" s="1" t="s">
        <v>560</v>
      </c>
      <c r="D78" s="1" t="s">
        <v>57</v>
      </c>
      <c r="E78" s="1" t="s">
        <v>167</v>
      </c>
      <c r="F78" s="1" t="s">
        <v>52</v>
      </c>
      <c r="G78" s="1" t="s">
        <v>100</v>
      </c>
      <c r="H78" s="1" t="s">
        <v>106</v>
      </c>
      <c r="I78" s="1" t="s">
        <v>247</v>
      </c>
      <c r="J78" s="1" t="s">
        <v>387</v>
      </c>
      <c r="K78" s="1" t="s">
        <v>313</v>
      </c>
      <c r="L78" s="1" t="s">
        <v>108</v>
      </c>
      <c r="M78" s="1" t="s">
        <v>200</v>
      </c>
      <c r="N78" s="1" t="s">
        <v>602</v>
      </c>
      <c r="O78" s="1" t="s">
        <v>200</v>
      </c>
      <c r="P78" s="1" t="s">
        <v>230</v>
      </c>
      <c r="Q78" s="1" t="s">
        <v>594</v>
      </c>
      <c r="R78" s="1" t="s">
        <v>108</v>
      </c>
      <c r="S78" s="1" t="s">
        <v>260</v>
      </c>
      <c r="T78" s="1" t="s">
        <v>184</v>
      </c>
      <c r="U78" s="1" t="s">
        <v>78</v>
      </c>
      <c r="V78" s="1" t="s">
        <v>49</v>
      </c>
      <c r="W78" s="1" t="s">
        <v>119</v>
      </c>
      <c r="X78" s="1" t="s">
        <v>131</v>
      </c>
      <c r="Y78" s="1"/>
      <c r="Z78" s="1" t="s">
        <v>262</v>
      </c>
      <c r="AA78" s="1" t="s">
        <v>60</v>
      </c>
      <c r="AB78" s="1" t="s">
        <v>56</v>
      </c>
      <c r="AC78" s="1" t="s">
        <v>98</v>
      </c>
      <c r="AD78" s="1" t="s">
        <v>215</v>
      </c>
      <c r="AE78" s="1" t="s">
        <v>579</v>
      </c>
      <c r="AF78" s="1" t="s">
        <v>124</v>
      </c>
      <c r="AG78" s="1" t="s">
        <v>156</v>
      </c>
      <c r="AH78" s="1" t="s">
        <v>481</v>
      </c>
      <c r="AI78" s="1" t="s">
        <v>94</v>
      </c>
      <c r="AJ78" s="1" t="s">
        <v>235</v>
      </c>
      <c r="AK78" s="1" t="s">
        <v>195</v>
      </c>
      <c r="AL78" s="1" t="s">
        <v>103</v>
      </c>
      <c r="AM78" s="1" t="s">
        <v>94</v>
      </c>
      <c r="AN78" s="1" t="s">
        <v>119</v>
      </c>
      <c r="AO78" s="1" t="s">
        <v>175</v>
      </c>
    </row>
    <row r="79" spans="1:41" x14ac:dyDescent="0.25">
      <c r="A79" s="1" t="s">
        <v>327</v>
      </c>
      <c r="B79" s="1" t="s">
        <v>327</v>
      </c>
      <c r="C79" s="1" t="s">
        <v>328</v>
      </c>
      <c r="D79" s="1" t="s">
        <v>57</v>
      </c>
      <c r="E79" s="1" t="s">
        <v>274</v>
      </c>
      <c r="F79" s="1" t="s">
        <v>52</v>
      </c>
      <c r="G79" s="1" t="s">
        <v>140</v>
      </c>
      <c r="H79" s="1" t="s">
        <v>259</v>
      </c>
      <c r="I79" s="1" t="s">
        <v>260</v>
      </c>
      <c r="J79" s="1" t="s">
        <v>245</v>
      </c>
      <c r="K79" s="1" t="s">
        <v>407</v>
      </c>
      <c r="L79" s="1" t="s">
        <v>108</v>
      </c>
      <c r="M79" s="1" t="s">
        <v>226</v>
      </c>
      <c r="N79" s="1" t="s">
        <v>639</v>
      </c>
      <c r="O79" s="1" t="s">
        <v>98</v>
      </c>
      <c r="P79" s="1" t="s">
        <v>131</v>
      </c>
      <c r="Q79" s="1" t="s">
        <v>561</v>
      </c>
      <c r="R79" s="1" t="s">
        <v>94</v>
      </c>
      <c r="S79" s="1" t="s">
        <v>251</v>
      </c>
      <c r="T79" s="1" t="s">
        <v>204</v>
      </c>
      <c r="U79" s="1" t="s">
        <v>124</v>
      </c>
      <c r="V79" s="1" t="s">
        <v>78</v>
      </c>
      <c r="W79" s="1" t="s">
        <v>98</v>
      </c>
      <c r="X79" s="1" t="s">
        <v>138</v>
      </c>
      <c r="Y79" s="1"/>
      <c r="Z79" s="1" t="s">
        <v>235</v>
      </c>
      <c r="AA79" s="1" t="s">
        <v>427</v>
      </c>
      <c r="AB79" s="1" t="s">
        <v>601</v>
      </c>
      <c r="AC79" s="1" t="s">
        <v>98</v>
      </c>
      <c r="AD79" s="1" t="s">
        <v>184</v>
      </c>
      <c r="AE79" s="1" t="s">
        <v>596</v>
      </c>
      <c r="AF79" s="1" t="s">
        <v>131</v>
      </c>
      <c r="AG79" s="1" t="s">
        <v>165</v>
      </c>
      <c r="AH79" s="1" t="s">
        <v>435</v>
      </c>
      <c r="AI79" s="1" t="s">
        <v>94</v>
      </c>
      <c r="AJ79" s="1" t="s">
        <v>264</v>
      </c>
      <c r="AK79" s="1" t="s">
        <v>189</v>
      </c>
      <c r="AL79" s="1" t="s">
        <v>70</v>
      </c>
      <c r="AM79" s="1" t="s">
        <v>78</v>
      </c>
      <c r="AN79" s="1" t="s">
        <v>165</v>
      </c>
      <c r="AO79" s="1" t="s">
        <v>150</v>
      </c>
    </row>
    <row r="81" spans="7:7" x14ac:dyDescent="0.25">
      <c r="G81">
        <f>_xlfn.STDEV.P(G83:G154)</f>
        <v>11.841473139399131</v>
      </c>
    </row>
    <row r="83" spans="7:7" x14ac:dyDescent="0.25">
      <c r="G83" s="2">
        <v>109</v>
      </c>
    </row>
    <row r="84" spans="7:7" x14ac:dyDescent="0.25">
      <c r="G84" s="3">
        <v>138</v>
      </c>
    </row>
    <row r="85" spans="7:7" x14ac:dyDescent="0.25">
      <c r="G85" s="2">
        <v>127</v>
      </c>
    </row>
    <row r="86" spans="7:7" x14ac:dyDescent="0.25">
      <c r="G86" s="3">
        <v>107</v>
      </c>
    </row>
    <row r="87" spans="7:7" x14ac:dyDescent="0.25">
      <c r="G87" s="2">
        <v>121</v>
      </c>
    </row>
    <row r="88" spans="7:7" x14ac:dyDescent="0.25">
      <c r="G88" s="3">
        <v>109</v>
      </c>
    </row>
    <row r="89" spans="7:7" x14ac:dyDescent="0.25">
      <c r="G89" s="2">
        <v>108</v>
      </c>
    </row>
    <row r="90" spans="7:7" x14ac:dyDescent="0.25">
      <c r="G90" s="3">
        <v>94</v>
      </c>
    </row>
    <row r="91" spans="7:7" x14ac:dyDescent="0.25">
      <c r="G91" s="2">
        <v>109</v>
      </c>
    </row>
    <row r="92" spans="7:7" x14ac:dyDescent="0.25">
      <c r="G92" s="3">
        <v>117</v>
      </c>
    </row>
    <row r="93" spans="7:7" x14ac:dyDescent="0.25">
      <c r="G93" s="2">
        <v>120</v>
      </c>
    </row>
    <row r="94" spans="7:7" x14ac:dyDescent="0.25">
      <c r="G94" s="3">
        <v>117</v>
      </c>
    </row>
    <row r="95" spans="7:7" x14ac:dyDescent="0.25">
      <c r="G95" s="2">
        <v>128</v>
      </c>
    </row>
    <row r="96" spans="7:7" x14ac:dyDescent="0.25">
      <c r="G96" s="3">
        <v>112</v>
      </c>
    </row>
    <row r="97" spans="7:7" x14ac:dyDescent="0.25">
      <c r="G97" s="2">
        <v>113</v>
      </c>
    </row>
    <row r="98" spans="7:7" x14ac:dyDescent="0.25">
      <c r="G98" s="3">
        <v>113</v>
      </c>
    </row>
    <row r="99" spans="7:7" x14ac:dyDescent="0.25">
      <c r="G99" s="2">
        <v>101</v>
      </c>
    </row>
    <row r="100" spans="7:7" x14ac:dyDescent="0.25">
      <c r="G100" s="3">
        <v>115</v>
      </c>
    </row>
    <row r="101" spans="7:7" x14ac:dyDescent="0.25">
      <c r="G101" s="2">
        <v>106</v>
      </c>
    </row>
    <row r="102" spans="7:7" x14ac:dyDescent="0.25">
      <c r="G102" s="3">
        <v>92</v>
      </c>
    </row>
    <row r="103" spans="7:7" x14ac:dyDescent="0.25">
      <c r="G103" s="2">
        <v>96</v>
      </c>
    </row>
    <row r="104" spans="7:7" x14ac:dyDescent="0.25">
      <c r="G104" s="3">
        <v>107</v>
      </c>
    </row>
    <row r="105" spans="7:7" x14ac:dyDescent="0.25">
      <c r="G105" s="2">
        <v>114</v>
      </c>
    </row>
    <row r="106" spans="7:7" x14ac:dyDescent="0.25">
      <c r="G106" s="3">
        <v>135</v>
      </c>
    </row>
    <row r="107" spans="7:7" x14ac:dyDescent="0.25">
      <c r="G107" s="2">
        <v>119</v>
      </c>
    </row>
    <row r="108" spans="7:7" x14ac:dyDescent="0.25">
      <c r="G108" s="3">
        <v>114</v>
      </c>
    </row>
    <row r="109" spans="7:7" x14ac:dyDescent="0.25">
      <c r="G109" s="2">
        <v>115</v>
      </c>
    </row>
    <row r="110" spans="7:7" x14ac:dyDescent="0.25">
      <c r="G110" s="3">
        <v>105</v>
      </c>
    </row>
    <row r="111" spans="7:7" x14ac:dyDescent="0.25">
      <c r="G111" s="2">
        <v>112</v>
      </c>
    </row>
    <row r="112" spans="7:7" x14ac:dyDescent="0.25">
      <c r="G112" s="3">
        <v>98</v>
      </c>
    </row>
    <row r="113" spans="7:7" x14ac:dyDescent="0.25">
      <c r="G113" s="2">
        <v>94</v>
      </c>
    </row>
    <row r="114" spans="7:7" x14ac:dyDescent="0.25">
      <c r="G114" s="3">
        <v>124</v>
      </c>
    </row>
    <row r="115" spans="7:7" x14ac:dyDescent="0.25">
      <c r="G115" s="2">
        <v>89</v>
      </c>
    </row>
    <row r="116" spans="7:7" x14ac:dyDescent="0.25">
      <c r="G116" s="3">
        <v>102</v>
      </c>
    </row>
    <row r="117" spans="7:7" x14ac:dyDescent="0.25">
      <c r="G117" s="2">
        <v>117</v>
      </c>
    </row>
    <row r="118" spans="7:7" x14ac:dyDescent="0.25">
      <c r="G118" s="3">
        <v>104</v>
      </c>
    </row>
    <row r="119" spans="7:7" x14ac:dyDescent="0.25">
      <c r="G119" s="2">
        <v>120</v>
      </c>
    </row>
    <row r="120" spans="7:7" x14ac:dyDescent="0.25">
      <c r="G120" s="3">
        <v>105</v>
      </c>
    </row>
    <row r="121" spans="7:7" x14ac:dyDescent="0.25">
      <c r="G121" s="2">
        <v>128</v>
      </c>
    </row>
    <row r="122" spans="7:7" x14ac:dyDescent="0.25">
      <c r="G122" s="3">
        <v>137</v>
      </c>
    </row>
    <row r="123" spans="7:7" x14ac:dyDescent="0.25">
      <c r="G123" s="2">
        <v>116</v>
      </c>
    </row>
    <row r="124" spans="7:7" x14ac:dyDescent="0.25">
      <c r="G124" s="3">
        <v>94</v>
      </c>
    </row>
    <row r="125" spans="7:7" x14ac:dyDescent="0.25">
      <c r="G125" s="2">
        <v>94</v>
      </c>
    </row>
    <row r="126" spans="7:7" x14ac:dyDescent="0.25">
      <c r="G126" s="3">
        <v>111</v>
      </c>
    </row>
    <row r="127" spans="7:7" x14ac:dyDescent="0.25">
      <c r="G127" s="2">
        <v>101</v>
      </c>
    </row>
    <row r="128" spans="7:7" x14ac:dyDescent="0.25">
      <c r="G128" s="3">
        <v>100</v>
      </c>
    </row>
    <row r="129" spans="7:7" x14ac:dyDescent="0.25">
      <c r="G129" s="2">
        <v>96</v>
      </c>
    </row>
    <row r="130" spans="7:7" x14ac:dyDescent="0.25">
      <c r="G130" s="3">
        <v>97</v>
      </c>
    </row>
    <row r="131" spans="7:7" x14ac:dyDescent="0.25">
      <c r="G131" s="2">
        <v>115</v>
      </c>
    </row>
    <row r="132" spans="7:7" x14ac:dyDescent="0.25">
      <c r="G132" s="3">
        <v>86</v>
      </c>
    </row>
    <row r="133" spans="7:7" x14ac:dyDescent="0.25">
      <c r="G133" s="2">
        <v>110</v>
      </c>
    </row>
    <row r="134" spans="7:7" x14ac:dyDescent="0.25">
      <c r="G134" s="3">
        <v>104</v>
      </c>
    </row>
    <row r="135" spans="7:7" x14ac:dyDescent="0.25">
      <c r="G135" s="2">
        <v>126</v>
      </c>
    </row>
    <row r="136" spans="7:7" x14ac:dyDescent="0.25">
      <c r="G136" s="3">
        <v>96</v>
      </c>
    </row>
    <row r="137" spans="7:7" x14ac:dyDescent="0.25">
      <c r="G137" s="2">
        <v>101</v>
      </c>
    </row>
    <row r="138" spans="7:7" x14ac:dyDescent="0.25">
      <c r="G138" s="3">
        <v>113</v>
      </c>
    </row>
    <row r="139" spans="7:7" x14ac:dyDescent="0.25">
      <c r="G139" s="2">
        <v>127</v>
      </c>
    </row>
    <row r="140" spans="7:7" x14ac:dyDescent="0.25">
      <c r="G140" s="3">
        <v>97</v>
      </c>
    </row>
    <row r="141" spans="7:7" x14ac:dyDescent="0.25">
      <c r="G141" s="2">
        <v>110</v>
      </c>
    </row>
    <row r="142" spans="7:7" x14ac:dyDescent="0.25">
      <c r="G142" s="3">
        <v>93</v>
      </c>
    </row>
    <row r="143" spans="7:7" x14ac:dyDescent="0.25">
      <c r="G143" s="2">
        <v>114</v>
      </c>
    </row>
    <row r="144" spans="7:7" x14ac:dyDescent="0.25">
      <c r="G144" s="3">
        <v>107</v>
      </c>
    </row>
    <row r="145" spans="7:7" x14ac:dyDescent="0.25">
      <c r="G145" s="2">
        <v>106</v>
      </c>
    </row>
    <row r="146" spans="7:7" x14ac:dyDescent="0.25">
      <c r="G146" s="3">
        <v>114</v>
      </c>
    </row>
    <row r="147" spans="7:7" x14ac:dyDescent="0.25">
      <c r="G147" s="2">
        <v>93</v>
      </c>
    </row>
    <row r="148" spans="7:7" x14ac:dyDescent="0.25">
      <c r="G148" s="3">
        <v>94</v>
      </c>
    </row>
    <row r="149" spans="7:7" x14ac:dyDescent="0.25">
      <c r="G149" s="2">
        <v>101</v>
      </c>
    </row>
    <row r="150" spans="7:7" x14ac:dyDescent="0.25">
      <c r="G150" s="3">
        <v>123</v>
      </c>
    </row>
    <row r="151" spans="7:7" x14ac:dyDescent="0.25">
      <c r="G151" s="2">
        <v>101</v>
      </c>
    </row>
    <row r="152" spans="7:7" x14ac:dyDescent="0.25">
      <c r="G152" s="3">
        <v>124</v>
      </c>
    </row>
    <row r="153" spans="7:7" x14ac:dyDescent="0.25">
      <c r="G153" s="2">
        <v>122</v>
      </c>
    </row>
    <row r="154" spans="7:7" x14ac:dyDescent="0.25">
      <c r="G154" s="3">
        <v>110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3647-BE9F-47DF-9BDC-68158ECD622F}">
  <dimension ref="C1:J1001"/>
  <sheetViews>
    <sheetView workbookViewId="0">
      <selection activeCell="D2" sqref="D2"/>
    </sheetView>
  </sheetViews>
  <sheetFormatPr defaultRowHeight="13.8" x14ac:dyDescent="0.25"/>
  <cols>
    <col min="8" max="8" width="13.21875" customWidth="1"/>
    <col min="9" max="9" width="12" customWidth="1"/>
  </cols>
  <sheetData>
    <row r="1" spans="3:10" x14ac:dyDescent="0.25">
      <c r="C1" t="s">
        <v>724</v>
      </c>
      <c r="D1" t="s">
        <v>723</v>
      </c>
      <c r="E1" t="s">
        <v>692</v>
      </c>
      <c r="F1" t="s">
        <v>693</v>
      </c>
      <c r="G1" t="s">
        <v>694</v>
      </c>
      <c r="H1" t="s">
        <v>695</v>
      </c>
      <c r="I1" t="s">
        <v>696</v>
      </c>
      <c r="J1" t="s">
        <v>690</v>
      </c>
    </row>
    <row r="2" spans="3:10" x14ac:dyDescent="0.25">
      <c r="C2">
        <v>1</v>
      </c>
      <c r="D2" t="str">
        <f ca="1">IF(E2=F2,0,IF(E2&gt;F2,"1","-1"))</f>
        <v>-1</v>
      </c>
      <c r="E2">
        <f ca="1">ROUND(NORMINV(RAND(),最终结果!$I$8,最终结果!$E$8),0)</f>
        <v>95</v>
      </c>
      <c r="F2">
        <f ca="1">ROUND(NORMINV(RAND(),最终结果!$I$12,最终结果!$E$12),0)</f>
        <v>112</v>
      </c>
      <c r="G2" t="str">
        <f ca="1">IF(E2=F2,"OT",IF(E2&gt;F2,"Away","Home"))</f>
        <v>Home</v>
      </c>
      <c r="H2" t="str">
        <f ca="1">IF(E2+最终结果!$G$8&gt;simulation!F2,"W","L")</f>
        <v>L</v>
      </c>
      <c r="I2" t="str">
        <f ca="1">IF(F2+最终结果!$G$12&gt;simulation!E2,"W","L")</f>
        <v>W</v>
      </c>
      <c r="J2" t="str">
        <f ca="1">IF((E2+F2)&gt;最终结果!$H$8,"Over","Under")</f>
        <v>Under</v>
      </c>
    </row>
    <row r="3" spans="3:10" x14ac:dyDescent="0.25">
      <c r="C3">
        <v>2</v>
      </c>
      <c r="D3" t="str">
        <f t="shared" ref="D3:D66" ca="1" si="0">IF(E3=F3,0,IF(E3&gt;F3,"1","-1"))</f>
        <v>-1</v>
      </c>
      <c r="E3">
        <f ca="1">ROUND(NORMINV(RAND(),最终结果!$I$8,最终结果!$E$8),0)</f>
        <v>104</v>
      </c>
      <c r="F3">
        <f ca="1">ROUND(NORMINV(RAND(),最终结果!$I$12,最终结果!$E$12),0)</f>
        <v>114</v>
      </c>
      <c r="G3" t="str">
        <f t="shared" ref="G3:G13" ca="1" si="1">IF(E3=F3,"OT",IF(E3&gt;F3,"Away","Home"))</f>
        <v>Home</v>
      </c>
      <c r="H3" t="str">
        <f ca="1">IF(E3+最终结果!$G$8&gt;simulation!F3,"W","L")</f>
        <v>L</v>
      </c>
      <c r="I3" t="str">
        <f ca="1">IF(F3+最终结果!$G$12&gt;simulation!E3,"W","L")</f>
        <v>W</v>
      </c>
      <c r="J3" t="str">
        <f ca="1">IF((E3+F3)&gt;最终结果!$H$8,"Over","Under")</f>
        <v>Under</v>
      </c>
    </row>
    <row r="4" spans="3:10" x14ac:dyDescent="0.25">
      <c r="C4">
        <v>3</v>
      </c>
      <c r="D4" t="str">
        <f t="shared" ca="1" si="0"/>
        <v>-1</v>
      </c>
      <c r="E4">
        <f ca="1">ROUND(NORMINV(RAND(),最终结果!$I$8,最终结果!$E$8),0)</f>
        <v>102</v>
      </c>
      <c r="F4">
        <f ca="1">ROUND(NORMINV(RAND(),最终结果!$I$12,最终结果!$E$12),0)</f>
        <v>126</v>
      </c>
      <c r="G4" t="str">
        <f t="shared" ca="1" si="1"/>
        <v>Home</v>
      </c>
      <c r="H4" t="str">
        <f ca="1">IF(E4+最终结果!$G$8&gt;simulation!F4,"W","L")</f>
        <v>L</v>
      </c>
      <c r="I4" t="str">
        <f ca="1">IF(F4+最终结果!$G$12&gt;simulation!E4,"W","L")</f>
        <v>W</v>
      </c>
      <c r="J4" t="str">
        <f ca="1">IF((E4+F4)&gt;最终结果!$H$8,"Over","Under")</f>
        <v>Under</v>
      </c>
    </row>
    <row r="5" spans="3:10" x14ac:dyDescent="0.25">
      <c r="C5">
        <v>4</v>
      </c>
      <c r="D5" t="str">
        <f t="shared" ca="1" si="0"/>
        <v>-1</v>
      </c>
      <c r="E5">
        <f ca="1">ROUND(NORMINV(RAND(),最终结果!$I$8,最终结果!$E$8),0)</f>
        <v>113</v>
      </c>
      <c r="F5">
        <f ca="1">ROUND(NORMINV(RAND(),最终结果!$I$12,最终结果!$E$12),0)</f>
        <v>128</v>
      </c>
      <c r="G5" t="str">
        <f t="shared" ca="1" si="1"/>
        <v>Home</v>
      </c>
      <c r="H5" t="str">
        <f ca="1">IF(E5+最终结果!$G$8&gt;simulation!F5,"W","L")</f>
        <v>L</v>
      </c>
      <c r="I5" t="str">
        <f ca="1">IF(F5+最终结果!$G$12&gt;simulation!E5,"W","L")</f>
        <v>W</v>
      </c>
      <c r="J5" t="str">
        <f ca="1">IF((E5+F5)&gt;最终结果!$H$8,"Over","Under")</f>
        <v>Over</v>
      </c>
    </row>
    <row r="6" spans="3:10" x14ac:dyDescent="0.25">
      <c r="C6">
        <v>5</v>
      </c>
      <c r="D6" t="str">
        <f t="shared" ca="1" si="0"/>
        <v>1</v>
      </c>
      <c r="E6">
        <f ca="1">ROUND(NORMINV(RAND(),最终结果!$I$8,最终结果!$E$8),0)</f>
        <v>131</v>
      </c>
      <c r="F6">
        <f ca="1">ROUND(NORMINV(RAND(),最终结果!$I$12,最终结果!$E$12),0)</f>
        <v>120</v>
      </c>
      <c r="G6" t="str">
        <f t="shared" ca="1" si="1"/>
        <v>Away</v>
      </c>
      <c r="H6" t="str">
        <f ca="1">IF(E6+最终结果!$G$8&gt;simulation!F6,"W","L")</f>
        <v>W</v>
      </c>
      <c r="I6" t="str">
        <f ca="1">IF(F6+最终结果!$G$12&gt;simulation!E6,"W","L")</f>
        <v>L</v>
      </c>
      <c r="J6" t="str">
        <f ca="1">IF((E6+F6)&gt;最终结果!$H$8,"Over","Under")</f>
        <v>Over</v>
      </c>
    </row>
    <row r="7" spans="3:10" x14ac:dyDescent="0.25">
      <c r="C7">
        <v>6</v>
      </c>
      <c r="D7" t="str">
        <f t="shared" ca="1" si="0"/>
        <v>1</v>
      </c>
      <c r="E7">
        <f ca="1">ROUND(NORMINV(RAND(),最终结果!$I$8,最终结果!$E$8),0)</f>
        <v>126</v>
      </c>
      <c r="F7">
        <f ca="1">ROUND(NORMINV(RAND(),最终结果!$I$12,最终结果!$E$12),0)</f>
        <v>121</v>
      </c>
      <c r="G7" t="str">
        <f t="shared" ca="1" si="1"/>
        <v>Away</v>
      </c>
      <c r="H7" t="str">
        <f ca="1">IF(E7+最终结果!$G$8&gt;simulation!F7,"W","L")</f>
        <v>W</v>
      </c>
      <c r="I7" t="str">
        <f ca="1">IF(F7+最终结果!$G$12&gt;simulation!E7,"W","L")</f>
        <v>L</v>
      </c>
      <c r="J7" t="str">
        <f ca="1">IF((E7+F7)&gt;最终结果!$H$8,"Over","Under")</f>
        <v>Over</v>
      </c>
    </row>
    <row r="8" spans="3:10" x14ac:dyDescent="0.25">
      <c r="C8">
        <v>7</v>
      </c>
      <c r="D8" t="str">
        <f t="shared" ca="1" si="0"/>
        <v>-1</v>
      </c>
      <c r="E8">
        <f ca="1">ROUND(NORMINV(RAND(),最终结果!$I$8,最终结果!$E$8),0)</f>
        <v>101</v>
      </c>
      <c r="F8">
        <f ca="1">ROUND(NORMINV(RAND(),最终结果!$I$12,最终结果!$E$12),0)</f>
        <v>145</v>
      </c>
      <c r="G8" t="str">
        <f t="shared" ca="1" si="1"/>
        <v>Home</v>
      </c>
      <c r="H8" t="str">
        <f ca="1">IF(E8+最终结果!$G$8&gt;simulation!F8,"W","L")</f>
        <v>L</v>
      </c>
      <c r="I8" t="str">
        <f ca="1">IF(F8+最终结果!$G$12&gt;simulation!E8,"W","L")</f>
        <v>W</v>
      </c>
      <c r="J8" t="str">
        <f ca="1">IF((E8+F8)&gt;最终结果!$H$8,"Over","Under")</f>
        <v>Over</v>
      </c>
    </row>
    <row r="9" spans="3:10" x14ac:dyDescent="0.25">
      <c r="C9">
        <v>8</v>
      </c>
      <c r="D9" t="str">
        <f t="shared" ca="1" si="0"/>
        <v>1</v>
      </c>
      <c r="E9">
        <f ca="1">ROUND(NORMINV(RAND(),最终结果!$I$8,最终结果!$E$8),0)</f>
        <v>125</v>
      </c>
      <c r="F9">
        <f ca="1">ROUND(NORMINV(RAND(),最终结果!$I$12,最终结果!$E$12),0)</f>
        <v>124</v>
      </c>
      <c r="G9" t="str">
        <f t="shared" ca="1" si="1"/>
        <v>Away</v>
      </c>
      <c r="H9" t="str">
        <f ca="1">IF(E9+最终结果!$G$8&gt;simulation!F9,"W","L")</f>
        <v>W</v>
      </c>
      <c r="I9" t="str">
        <f ca="1">IF(F9+最终结果!$G$12&gt;simulation!E9,"W","L")</f>
        <v>L</v>
      </c>
      <c r="J9" t="str">
        <f ca="1">IF((E9+F9)&gt;最终结果!$H$8,"Over","Under")</f>
        <v>Over</v>
      </c>
    </row>
    <row r="10" spans="3:10" x14ac:dyDescent="0.25">
      <c r="C10">
        <v>9</v>
      </c>
      <c r="D10" t="str">
        <f t="shared" ca="1" si="0"/>
        <v>1</v>
      </c>
      <c r="E10">
        <f ca="1">ROUND(NORMINV(RAND(),最终结果!$I$8,最终结果!$E$8),0)</f>
        <v>111</v>
      </c>
      <c r="F10">
        <f ca="1">ROUND(NORMINV(RAND(),最终结果!$I$12,最终结果!$E$12),0)</f>
        <v>110</v>
      </c>
      <c r="G10" t="str">
        <f t="shared" ca="1" si="1"/>
        <v>Away</v>
      </c>
      <c r="H10" t="str">
        <f ca="1">IF(E10+最终结果!$G$8&gt;simulation!F10,"W","L")</f>
        <v>W</v>
      </c>
      <c r="I10" t="str">
        <f ca="1">IF(F10+最终结果!$G$12&gt;simulation!E10,"W","L")</f>
        <v>L</v>
      </c>
      <c r="J10" t="str">
        <f ca="1">IF((E10+F10)&gt;最终结果!$H$8,"Over","Under")</f>
        <v>Under</v>
      </c>
    </row>
    <row r="11" spans="3:10" x14ac:dyDescent="0.25">
      <c r="C11">
        <v>10</v>
      </c>
      <c r="D11" t="str">
        <f t="shared" ca="1" si="0"/>
        <v>-1</v>
      </c>
      <c r="E11">
        <f ca="1">ROUND(NORMINV(RAND(),最终结果!$I$8,最终结果!$E$8),0)</f>
        <v>85</v>
      </c>
      <c r="F11">
        <f ca="1">ROUND(NORMINV(RAND(),最终结果!$I$12,最终结果!$E$12),0)</f>
        <v>113</v>
      </c>
      <c r="G11" t="str">
        <f t="shared" ca="1" si="1"/>
        <v>Home</v>
      </c>
      <c r="H11" t="str">
        <f ca="1">IF(E11+最终结果!$G$8&gt;simulation!F11,"W","L")</f>
        <v>L</v>
      </c>
      <c r="I11" t="str">
        <f ca="1">IF(F11+最终结果!$G$12&gt;simulation!E11,"W","L")</f>
        <v>W</v>
      </c>
      <c r="J11" t="str">
        <f ca="1">IF((E11+F11)&gt;最终结果!$H$8,"Over","Under")</f>
        <v>Under</v>
      </c>
    </row>
    <row r="12" spans="3:10" x14ac:dyDescent="0.25">
      <c r="C12">
        <v>11</v>
      </c>
      <c r="D12" t="str">
        <f t="shared" ca="1" si="0"/>
        <v>-1</v>
      </c>
      <c r="E12">
        <f ca="1">ROUND(NORMINV(RAND(),最终结果!$I$8,最终结果!$E$8),0)</f>
        <v>120</v>
      </c>
      <c r="F12">
        <f ca="1">ROUND(NORMINV(RAND(),最终结果!$I$12,最终结果!$E$12),0)</f>
        <v>126</v>
      </c>
      <c r="G12" t="str">
        <f t="shared" ca="1" si="1"/>
        <v>Home</v>
      </c>
      <c r="H12" t="str">
        <f ca="1">IF(E12+最终结果!$G$8&gt;simulation!F12,"W","L")</f>
        <v>L</v>
      </c>
      <c r="I12" t="str">
        <f ca="1">IF(F12+最终结果!$G$12&gt;simulation!E12,"W","L")</f>
        <v>W</v>
      </c>
      <c r="J12" t="str">
        <f ca="1">IF((E12+F12)&gt;最终结果!$H$8,"Over","Under")</f>
        <v>Over</v>
      </c>
    </row>
    <row r="13" spans="3:10" x14ac:dyDescent="0.25">
      <c r="C13">
        <v>12</v>
      </c>
      <c r="D13" t="str">
        <f t="shared" ca="1" si="0"/>
        <v>-1</v>
      </c>
      <c r="E13">
        <f ca="1">ROUND(NORMINV(RAND(),最终结果!$I$8,最终结果!$E$8),0)</f>
        <v>90</v>
      </c>
      <c r="F13">
        <f ca="1">ROUND(NORMINV(RAND(),最终结果!$I$12,最终结果!$E$12),0)</f>
        <v>110</v>
      </c>
      <c r="G13" t="str">
        <f t="shared" ca="1" si="1"/>
        <v>Home</v>
      </c>
      <c r="H13" t="str">
        <f ca="1">IF(E13+最终结果!$G$8&gt;simulation!F13,"W","L")</f>
        <v>L</v>
      </c>
      <c r="I13" t="str">
        <f ca="1">IF(F13+最终结果!$G$12&gt;simulation!E13,"W","L")</f>
        <v>W</v>
      </c>
      <c r="J13" t="str">
        <f ca="1">IF((E13+F13)&gt;最终结果!$H$8,"Over","Under")</f>
        <v>Under</v>
      </c>
    </row>
    <row r="14" spans="3:10" x14ac:dyDescent="0.25">
      <c r="C14">
        <v>13</v>
      </c>
      <c r="D14" t="str">
        <f t="shared" ca="1" si="0"/>
        <v>-1</v>
      </c>
      <c r="E14">
        <f ca="1">ROUND(NORMINV(RAND(),最终结果!$I$8,最终结果!$E$8),0)</f>
        <v>88</v>
      </c>
      <c r="F14">
        <f ca="1">ROUND(NORMINV(RAND(),最终结果!$I$12,最终结果!$E$12),0)</f>
        <v>128</v>
      </c>
      <c r="G14" t="str">
        <f t="shared" ref="G14:G77" ca="1" si="2">IF(E14=F14,"OT",IF(E14&gt;F14,"Away","Home"))</f>
        <v>Home</v>
      </c>
      <c r="H14" t="str">
        <f ca="1">IF(E14+最终结果!$G$8&gt;simulation!F14,"W","L")</f>
        <v>L</v>
      </c>
      <c r="I14" t="str">
        <f ca="1">IF(F14+最终结果!$G$12&gt;simulation!E14,"W","L")</f>
        <v>W</v>
      </c>
      <c r="J14" t="str">
        <f ca="1">IF((E14+F14)&gt;最终结果!$H$8,"Over","Under")</f>
        <v>Under</v>
      </c>
    </row>
    <row r="15" spans="3:10" x14ac:dyDescent="0.25">
      <c r="C15">
        <v>14</v>
      </c>
      <c r="D15" t="str">
        <f t="shared" ca="1" si="0"/>
        <v>1</v>
      </c>
      <c r="E15">
        <f ca="1">ROUND(NORMINV(RAND(),最终结果!$I$8,最终结果!$E$8),0)</f>
        <v>118</v>
      </c>
      <c r="F15">
        <f ca="1">ROUND(NORMINV(RAND(),最终结果!$I$12,最终结果!$E$12),0)</f>
        <v>104</v>
      </c>
      <c r="G15" t="str">
        <f t="shared" ca="1" si="2"/>
        <v>Away</v>
      </c>
      <c r="H15" t="str">
        <f ca="1">IF(E15+最终结果!$G$8&gt;simulation!F15,"W","L")</f>
        <v>W</v>
      </c>
      <c r="I15" t="str">
        <f ca="1">IF(F15+最终结果!$G$12&gt;simulation!E15,"W","L")</f>
        <v>L</v>
      </c>
      <c r="J15" t="str">
        <f ca="1">IF((E15+F15)&gt;最终结果!$H$8,"Over","Under")</f>
        <v>Under</v>
      </c>
    </row>
    <row r="16" spans="3:10" x14ac:dyDescent="0.25">
      <c r="C16">
        <v>15</v>
      </c>
      <c r="D16" t="str">
        <f t="shared" ca="1" si="0"/>
        <v>1</v>
      </c>
      <c r="E16">
        <f ca="1">ROUND(NORMINV(RAND(),最终结果!$I$8,最终结果!$E$8),0)</f>
        <v>112</v>
      </c>
      <c r="F16">
        <f ca="1">ROUND(NORMINV(RAND(),最终结果!$I$12,最终结果!$E$12),0)</f>
        <v>98</v>
      </c>
      <c r="G16" t="str">
        <f t="shared" ca="1" si="2"/>
        <v>Away</v>
      </c>
      <c r="H16" t="str">
        <f ca="1">IF(E16+最终结果!$G$8&gt;simulation!F16,"W","L")</f>
        <v>W</v>
      </c>
      <c r="I16" t="str">
        <f ca="1">IF(F16+最终结果!$G$12&gt;simulation!E16,"W","L")</f>
        <v>L</v>
      </c>
      <c r="J16" t="str">
        <f ca="1">IF((E16+F16)&gt;最终结果!$H$8,"Over","Under")</f>
        <v>Under</v>
      </c>
    </row>
    <row r="17" spans="3:10" x14ac:dyDescent="0.25">
      <c r="C17">
        <v>16</v>
      </c>
      <c r="D17" t="str">
        <f t="shared" ca="1" si="0"/>
        <v>-1</v>
      </c>
      <c r="E17">
        <f ca="1">ROUND(NORMINV(RAND(),最终结果!$I$8,最终结果!$E$8),0)</f>
        <v>98</v>
      </c>
      <c r="F17">
        <f ca="1">ROUND(NORMINV(RAND(),最终结果!$I$12,最终结果!$E$12),0)</f>
        <v>133</v>
      </c>
      <c r="G17" t="str">
        <f t="shared" ca="1" si="2"/>
        <v>Home</v>
      </c>
      <c r="H17" t="str">
        <f ca="1">IF(E17+最终结果!$G$8&gt;simulation!F17,"W","L")</f>
        <v>L</v>
      </c>
      <c r="I17" t="str">
        <f ca="1">IF(F17+最终结果!$G$12&gt;simulation!E17,"W","L")</f>
        <v>W</v>
      </c>
      <c r="J17" t="str">
        <f ca="1">IF((E17+F17)&gt;最终结果!$H$8,"Over","Under")</f>
        <v>Under</v>
      </c>
    </row>
    <row r="18" spans="3:10" x14ac:dyDescent="0.25">
      <c r="C18">
        <v>17</v>
      </c>
      <c r="D18" t="str">
        <f t="shared" ca="1" si="0"/>
        <v>-1</v>
      </c>
      <c r="E18">
        <f ca="1">ROUND(NORMINV(RAND(),最终结果!$I$8,最终结果!$E$8),0)</f>
        <v>125</v>
      </c>
      <c r="F18">
        <f ca="1">ROUND(NORMINV(RAND(),最终结果!$I$12,最终结果!$E$12),0)</f>
        <v>126</v>
      </c>
      <c r="G18" t="str">
        <f t="shared" ca="1" si="2"/>
        <v>Home</v>
      </c>
      <c r="H18" t="str">
        <f ca="1">IF(E18+最终结果!$G$8&gt;simulation!F18,"W","L")</f>
        <v>W</v>
      </c>
      <c r="I18" t="str">
        <f ca="1">IF(F18+最终结果!$G$12&gt;simulation!E18,"W","L")</f>
        <v>L</v>
      </c>
      <c r="J18" t="str">
        <f ca="1">IF((E18+F18)&gt;最终结果!$H$8,"Over","Under")</f>
        <v>Over</v>
      </c>
    </row>
    <row r="19" spans="3:10" x14ac:dyDescent="0.25">
      <c r="C19">
        <v>18</v>
      </c>
      <c r="D19" t="str">
        <f t="shared" ca="1" si="0"/>
        <v>-1</v>
      </c>
      <c r="E19">
        <f ca="1">ROUND(NORMINV(RAND(),最终结果!$I$8,最终结果!$E$8),0)</f>
        <v>114</v>
      </c>
      <c r="F19">
        <f ca="1">ROUND(NORMINV(RAND(),最终结果!$I$12,最终结果!$E$12),0)</f>
        <v>131</v>
      </c>
      <c r="G19" t="str">
        <f t="shared" ca="1" si="2"/>
        <v>Home</v>
      </c>
      <c r="H19" t="str">
        <f ca="1">IF(E19+最终结果!$G$8&gt;simulation!F19,"W","L")</f>
        <v>L</v>
      </c>
      <c r="I19" t="str">
        <f ca="1">IF(F19+最终结果!$G$12&gt;simulation!E19,"W","L")</f>
        <v>W</v>
      </c>
      <c r="J19" t="str">
        <f ca="1">IF((E19+F19)&gt;最终结果!$H$8,"Over","Under")</f>
        <v>Over</v>
      </c>
    </row>
    <row r="20" spans="3:10" x14ac:dyDescent="0.25">
      <c r="C20">
        <v>19</v>
      </c>
      <c r="D20" t="str">
        <f t="shared" ca="1" si="0"/>
        <v>-1</v>
      </c>
      <c r="E20">
        <f ca="1">ROUND(NORMINV(RAND(),最终结果!$I$8,最终结果!$E$8),0)</f>
        <v>116</v>
      </c>
      <c r="F20">
        <f ca="1">ROUND(NORMINV(RAND(),最终结果!$I$12,最终结果!$E$12),0)</f>
        <v>119</v>
      </c>
      <c r="G20" t="str">
        <f t="shared" ca="1" si="2"/>
        <v>Home</v>
      </c>
      <c r="H20" t="str">
        <f ca="1">IF(E20+最终结果!$G$8&gt;simulation!F20,"W","L")</f>
        <v>L</v>
      </c>
      <c r="I20" t="str">
        <f ca="1">IF(F20+最终结果!$G$12&gt;simulation!E20,"W","L")</f>
        <v>L</v>
      </c>
      <c r="J20" t="str">
        <f ca="1">IF((E20+F20)&gt;最终结果!$H$8,"Over","Under")</f>
        <v>Under</v>
      </c>
    </row>
    <row r="21" spans="3:10" x14ac:dyDescent="0.25">
      <c r="C21">
        <v>20</v>
      </c>
      <c r="D21" t="str">
        <f t="shared" ca="1" si="0"/>
        <v>-1</v>
      </c>
      <c r="E21">
        <f ca="1">ROUND(NORMINV(RAND(),最终结果!$I$8,最终结果!$E$8),0)</f>
        <v>103</v>
      </c>
      <c r="F21">
        <f ca="1">ROUND(NORMINV(RAND(),最终结果!$I$12,最终结果!$E$12),0)</f>
        <v>125</v>
      </c>
      <c r="G21" t="str">
        <f t="shared" ca="1" si="2"/>
        <v>Home</v>
      </c>
      <c r="H21" t="str">
        <f ca="1">IF(E21+最终结果!$G$8&gt;simulation!F21,"W","L")</f>
        <v>L</v>
      </c>
      <c r="I21" t="str">
        <f ca="1">IF(F21+最终结果!$G$12&gt;simulation!E21,"W","L")</f>
        <v>W</v>
      </c>
      <c r="J21" t="str">
        <f ca="1">IF((E21+F21)&gt;最终结果!$H$8,"Over","Under")</f>
        <v>Under</v>
      </c>
    </row>
    <row r="22" spans="3:10" x14ac:dyDescent="0.25">
      <c r="C22">
        <v>21</v>
      </c>
      <c r="D22" t="str">
        <f t="shared" ca="1" si="0"/>
        <v>1</v>
      </c>
      <c r="E22">
        <f ca="1">ROUND(NORMINV(RAND(),最终结果!$I$8,最终结果!$E$8),0)</f>
        <v>108</v>
      </c>
      <c r="F22">
        <f ca="1">ROUND(NORMINV(RAND(),最终结果!$I$12,最终结果!$E$12),0)</f>
        <v>104</v>
      </c>
      <c r="G22" t="str">
        <f t="shared" ca="1" si="2"/>
        <v>Away</v>
      </c>
      <c r="H22" t="str">
        <f ca="1">IF(E22+最终结果!$G$8&gt;simulation!F22,"W","L")</f>
        <v>W</v>
      </c>
      <c r="I22" t="str">
        <f ca="1">IF(F22+最终结果!$G$12&gt;simulation!E22,"W","L")</f>
        <v>L</v>
      </c>
      <c r="J22" t="str">
        <f ca="1">IF((E22+F22)&gt;最终结果!$H$8,"Over","Under")</f>
        <v>Under</v>
      </c>
    </row>
    <row r="23" spans="3:10" x14ac:dyDescent="0.25">
      <c r="C23">
        <v>22</v>
      </c>
      <c r="D23" t="str">
        <f t="shared" ca="1" si="0"/>
        <v>1</v>
      </c>
      <c r="E23">
        <f ca="1">ROUND(NORMINV(RAND(),最终结果!$I$8,最终结果!$E$8),0)</f>
        <v>120</v>
      </c>
      <c r="F23">
        <f ca="1">ROUND(NORMINV(RAND(),最终结果!$I$12,最终结果!$E$12),0)</f>
        <v>99</v>
      </c>
      <c r="G23" t="str">
        <f t="shared" ca="1" si="2"/>
        <v>Away</v>
      </c>
      <c r="H23" t="str">
        <f ca="1">IF(E23+最终结果!$G$8&gt;simulation!F23,"W","L")</f>
        <v>W</v>
      </c>
      <c r="I23" t="str">
        <f ca="1">IF(F23+最终结果!$G$12&gt;simulation!E23,"W","L")</f>
        <v>L</v>
      </c>
      <c r="J23" t="str">
        <f ca="1">IF((E23+F23)&gt;最终结果!$H$8,"Over","Under")</f>
        <v>Under</v>
      </c>
    </row>
    <row r="24" spans="3:10" x14ac:dyDescent="0.25">
      <c r="C24">
        <v>23</v>
      </c>
      <c r="D24" t="str">
        <f t="shared" ca="1" si="0"/>
        <v>-1</v>
      </c>
      <c r="E24">
        <f ca="1">ROUND(NORMINV(RAND(),最终结果!$I$8,最终结果!$E$8),0)</f>
        <v>102</v>
      </c>
      <c r="F24">
        <f ca="1">ROUND(NORMINV(RAND(),最终结果!$I$12,最终结果!$E$12),0)</f>
        <v>124</v>
      </c>
      <c r="G24" t="str">
        <f t="shared" ca="1" si="2"/>
        <v>Home</v>
      </c>
      <c r="H24" t="str">
        <f ca="1">IF(E24+最终结果!$G$8&gt;simulation!F24,"W","L")</f>
        <v>L</v>
      </c>
      <c r="I24" t="str">
        <f ca="1">IF(F24+最终结果!$G$12&gt;simulation!E24,"W","L")</f>
        <v>W</v>
      </c>
      <c r="J24" t="str">
        <f ca="1">IF((E24+F24)&gt;最终结果!$H$8,"Over","Under")</f>
        <v>Under</v>
      </c>
    </row>
    <row r="25" spans="3:10" x14ac:dyDescent="0.25">
      <c r="C25">
        <v>24</v>
      </c>
      <c r="D25" t="str">
        <f t="shared" ca="1" si="0"/>
        <v>-1</v>
      </c>
      <c r="E25">
        <f ca="1">ROUND(NORMINV(RAND(),最终结果!$I$8,最终结果!$E$8),0)</f>
        <v>122</v>
      </c>
      <c r="F25">
        <f ca="1">ROUND(NORMINV(RAND(),最终结果!$I$12,最终结果!$E$12),0)</f>
        <v>129</v>
      </c>
      <c r="G25" t="str">
        <f t="shared" ca="1" si="2"/>
        <v>Home</v>
      </c>
      <c r="H25" t="str">
        <f ca="1">IF(E25+最终结果!$G$8&gt;simulation!F25,"W","L")</f>
        <v>L</v>
      </c>
      <c r="I25" t="str">
        <f ca="1">IF(F25+最终结果!$G$12&gt;simulation!E25,"W","L")</f>
        <v>W</v>
      </c>
      <c r="J25" t="str">
        <f ca="1">IF((E25+F25)&gt;最终结果!$H$8,"Over","Under")</f>
        <v>Over</v>
      </c>
    </row>
    <row r="26" spans="3:10" x14ac:dyDescent="0.25">
      <c r="C26">
        <v>25</v>
      </c>
      <c r="D26" t="str">
        <f t="shared" ca="1" si="0"/>
        <v>-1</v>
      </c>
      <c r="E26">
        <f ca="1">ROUND(NORMINV(RAND(),最终结果!$I$8,最终结果!$E$8),0)</f>
        <v>102</v>
      </c>
      <c r="F26">
        <f ca="1">ROUND(NORMINV(RAND(),最终结果!$I$12,最终结果!$E$12),0)</f>
        <v>108</v>
      </c>
      <c r="G26" t="str">
        <f t="shared" ca="1" si="2"/>
        <v>Home</v>
      </c>
      <c r="H26" t="str">
        <f ca="1">IF(E26+最终结果!$G$8&gt;simulation!F26,"W","L")</f>
        <v>L</v>
      </c>
      <c r="I26" t="str">
        <f ca="1">IF(F26+最终结果!$G$12&gt;simulation!E26,"W","L")</f>
        <v>W</v>
      </c>
      <c r="J26" t="str">
        <f ca="1">IF((E26+F26)&gt;最终结果!$H$8,"Over","Under")</f>
        <v>Under</v>
      </c>
    </row>
    <row r="27" spans="3:10" x14ac:dyDescent="0.25">
      <c r="C27">
        <v>26</v>
      </c>
      <c r="D27" t="str">
        <f t="shared" ca="1" si="0"/>
        <v>-1</v>
      </c>
      <c r="E27">
        <f ca="1">ROUND(NORMINV(RAND(),最终结果!$I$8,最终结果!$E$8),0)</f>
        <v>89</v>
      </c>
      <c r="F27">
        <f ca="1">ROUND(NORMINV(RAND(),最终结果!$I$12,最终结果!$E$12),0)</f>
        <v>118</v>
      </c>
      <c r="G27" t="str">
        <f t="shared" ca="1" si="2"/>
        <v>Home</v>
      </c>
      <c r="H27" t="str">
        <f ca="1">IF(E27+最终结果!$G$8&gt;simulation!F27,"W","L")</f>
        <v>L</v>
      </c>
      <c r="I27" t="str">
        <f ca="1">IF(F27+最终结果!$G$12&gt;simulation!E27,"W","L")</f>
        <v>W</v>
      </c>
      <c r="J27" t="str">
        <f ca="1">IF((E27+F27)&gt;最终结果!$H$8,"Over","Under")</f>
        <v>Under</v>
      </c>
    </row>
    <row r="28" spans="3:10" x14ac:dyDescent="0.25">
      <c r="C28">
        <v>27</v>
      </c>
      <c r="D28" t="str">
        <f t="shared" ca="1" si="0"/>
        <v>-1</v>
      </c>
      <c r="E28">
        <f ca="1">ROUND(NORMINV(RAND(),最终结果!$I$8,最终结果!$E$8),0)</f>
        <v>112</v>
      </c>
      <c r="F28">
        <f ca="1">ROUND(NORMINV(RAND(),最终结果!$I$12,最终结果!$E$12),0)</f>
        <v>120</v>
      </c>
      <c r="G28" t="str">
        <f t="shared" ca="1" si="2"/>
        <v>Home</v>
      </c>
      <c r="H28" t="str">
        <f ca="1">IF(E28+最终结果!$G$8&gt;simulation!F28,"W","L")</f>
        <v>L</v>
      </c>
      <c r="I28" t="str">
        <f ca="1">IF(F28+最终结果!$G$12&gt;simulation!E28,"W","L")</f>
        <v>W</v>
      </c>
      <c r="J28" t="str">
        <f ca="1">IF((E28+F28)&gt;最终结果!$H$8,"Over","Under")</f>
        <v>Under</v>
      </c>
    </row>
    <row r="29" spans="3:10" x14ac:dyDescent="0.25">
      <c r="C29">
        <v>28</v>
      </c>
      <c r="D29" t="str">
        <f t="shared" ca="1" si="0"/>
        <v>1</v>
      </c>
      <c r="E29">
        <f ca="1">ROUND(NORMINV(RAND(),最终结果!$I$8,最终结果!$E$8),0)</f>
        <v>130</v>
      </c>
      <c r="F29">
        <f ca="1">ROUND(NORMINV(RAND(),最终结果!$I$12,最终结果!$E$12),0)</f>
        <v>118</v>
      </c>
      <c r="G29" t="str">
        <f t="shared" ca="1" si="2"/>
        <v>Away</v>
      </c>
      <c r="H29" t="str">
        <f ca="1">IF(E29+最终结果!$G$8&gt;simulation!F29,"W","L")</f>
        <v>W</v>
      </c>
      <c r="I29" t="str">
        <f ca="1">IF(F29+最终结果!$G$12&gt;simulation!E29,"W","L")</f>
        <v>L</v>
      </c>
      <c r="J29" t="str">
        <f ca="1">IF((E29+F29)&gt;最终结果!$H$8,"Over","Under")</f>
        <v>Over</v>
      </c>
    </row>
    <row r="30" spans="3:10" x14ac:dyDescent="0.25">
      <c r="C30">
        <v>29</v>
      </c>
      <c r="D30" t="str">
        <f t="shared" ca="1" si="0"/>
        <v>-1</v>
      </c>
      <c r="E30">
        <f ca="1">ROUND(NORMINV(RAND(),最终结果!$I$8,最终结果!$E$8),0)</f>
        <v>105</v>
      </c>
      <c r="F30">
        <f ca="1">ROUND(NORMINV(RAND(),最终结果!$I$12,最终结果!$E$12),0)</f>
        <v>111</v>
      </c>
      <c r="G30" t="str">
        <f t="shared" ca="1" si="2"/>
        <v>Home</v>
      </c>
      <c r="H30" t="str">
        <f ca="1">IF(E30+最终结果!$G$8&gt;simulation!F30,"W","L")</f>
        <v>L</v>
      </c>
      <c r="I30" t="str">
        <f ca="1">IF(F30+最终结果!$G$12&gt;simulation!E30,"W","L")</f>
        <v>W</v>
      </c>
      <c r="J30" t="str">
        <f ca="1">IF((E30+F30)&gt;最终结果!$H$8,"Over","Under")</f>
        <v>Under</v>
      </c>
    </row>
    <row r="31" spans="3:10" x14ac:dyDescent="0.25">
      <c r="C31">
        <v>30</v>
      </c>
      <c r="D31" t="str">
        <f t="shared" ca="1" si="0"/>
        <v>1</v>
      </c>
      <c r="E31">
        <f ca="1">ROUND(NORMINV(RAND(),最终结果!$I$8,最终结果!$E$8),0)</f>
        <v>114</v>
      </c>
      <c r="F31">
        <f ca="1">ROUND(NORMINV(RAND(),最终结果!$I$12,最终结果!$E$12),0)</f>
        <v>109</v>
      </c>
      <c r="G31" t="str">
        <f t="shared" ca="1" si="2"/>
        <v>Away</v>
      </c>
      <c r="H31" t="str">
        <f ca="1">IF(E31+最终结果!$G$8&gt;simulation!F31,"W","L")</f>
        <v>W</v>
      </c>
      <c r="I31" t="str">
        <f ca="1">IF(F31+最终结果!$G$12&gt;simulation!E31,"W","L")</f>
        <v>L</v>
      </c>
      <c r="J31" t="str">
        <f ca="1">IF((E31+F31)&gt;最终结果!$H$8,"Over","Under")</f>
        <v>Under</v>
      </c>
    </row>
    <row r="32" spans="3:10" x14ac:dyDescent="0.25">
      <c r="C32">
        <v>31</v>
      </c>
      <c r="D32" t="str">
        <f t="shared" ca="1" si="0"/>
        <v>1</v>
      </c>
      <c r="E32">
        <f ca="1">ROUND(NORMINV(RAND(),最终结果!$I$8,最终结果!$E$8),0)</f>
        <v>116</v>
      </c>
      <c r="F32">
        <f ca="1">ROUND(NORMINV(RAND(),最终结果!$I$12,最终结果!$E$12),0)</f>
        <v>102</v>
      </c>
      <c r="G32" t="str">
        <f t="shared" ca="1" si="2"/>
        <v>Away</v>
      </c>
      <c r="H32" t="str">
        <f ca="1">IF(E32+最终结果!$G$8&gt;simulation!F32,"W","L")</f>
        <v>W</v>
      </c>
      <c r="I32" t="str">
        <f ca="1">IF(F32+最终结果!$G$12&gt;simulation!E32,"W","L")</f>
        <v>L</v>
      </c>
      <c r="J32" t="str">
        <f ca="1">IF((E32+F32)&gt;最终结果!$H$8,"Over","Under")</f>
        <v>Under</v>
      </c>
    </row>
    <row r="33" spans="3:10" x14ac:dyDescent="0.25">
      <c r="C33">
        <v>32</v>
      </c>
      <c r="D33" t="str">
        <f t="shared" ca="1" si="0"/>
        <v>-1</v>
      </c>
      <c r="E33">
        <f ca="1">ROUND(NORMINV(RAND(),最终结果!$I$8,最终结果!$E$8),0)</f>
        <v>113</v>
      </c>
      <c r="F33">
        <f ca="1">ROUND(NORMINV(RAND(),最终结果!$I$12,最终结果!$E$12),0)</f>
        <v>119</v>
      </c>
      <c r="G33" t="str">
        <f t="shared" ca="1" si="2"/>
        <v>Home</v>
      </c>
      <c r="H33" t="str">
        <f ca="1">IF(E33+最终结果!$G$8&gt;simulation!F33,"W","L")</f>
        <v>L</v>
      </c>
      <c r="I33" t="str">
        <f ca="1">IF(F33+最终结果!$G$12&gt;simulation!E33,"W","L")</f>
        <v>W</v>
      </c>
      <c r="J33" t="str">
        <f ca="1">IF((E33+F33)&gt;最终结果!$H$8,"Over","Under")</f>
        <v>Under</v>
      </c>
    </row>
    <row r="34" spans="3:10" x14ac:dyDescent="0.25">
      <c r="C34">
        <v>33</v>
      </c>
      <c r="D34" t="str">
        <f t="shared" ca="1" si="0"/>
        <v>1</v>
      </c>
      <c r="E34">
        <f ca="1">ROUND(NORMINV(RAND(),最终结果!$I$8,最终结果!$E$8),0)</f>
        <v>108</v>
      </c>
      <c r="F34">
        <f ca="1">ROUND(NORMINV(RAND(),最终结果!$I$12,最终结果!$E$12),0)</f>
        <v>107</v>
      </c>
      <c r="G34" t="str">
        <f t="shared" ca="1" si="2"/>
        <v>Away</v>
      </c>
      <c r="H34" t="str">
        <f ca="1">IF(E34+最终结果!$G$8&gt;simulation!F34,"W","L")</f>
        <v>W</v>
      </c>
      <c r="I34" t="str">
        <f ca="1">IF(F34+最终结果!$G$12&gt;simulation!E34,"W","L")</f>
        <v>L</v>
      </c>
      <c r="J34" t="str">
        <f ca="1">IF((E34+F34)&gt;最终结果!$H$8,"Over","Under")</f>
        <v>Under</v>
      </c>
    </row>
    <row r="35" spans="3:10" x14ac:dyDescent="0.25">
      <c r="C35">
        <v>34</v>
      </c>
      <c r="D35" t="str">
        <f t="shared" ca="1" si="0"/>
        <v>-1</v>
      </c>
      <c r="E35">
        <f ca="1">ROUND(NORMINV(RAND(),最终结果!$I$8,最终结果!$E$8),0)</f>
        <v>115</v>
      </c>
      <c r="F35">
        <f ca="1">ROUND(NORMINV(RAND(),最终结果!$I$12,最终结果!$E$12),0)</f>
        <v>133</v>
      </c>
      <c r="G35" t="str">
        <f t="shared" ca="1" si="2"/>
        <v>Home</v>
      </c>
      <c r="H35" t="str">
        <f ca="1">IF(E35+最终结果!$G$8&gt;simulation!F35,"W","L")</f>
        <v>L</v>
      </c>
      <c r="I35" t="str">
        <f ca="1">IF(F35+最终结果!$G$12&gt;simulation!E35,"W","L")</f>
        <v>W</v>
      </c>
      <c r="J35" t="str">
        <f ca="1">IF((E35+F35)&gt;最终结果!$H$8,"Over","Under")</f>
        <v>Over</v>
      </c>
    </row>
    <row r="36" spans="3:10" x14ac:dyDescent="0.25">
      <c r="C36">
        <v>35</v>
      </c>
      <c r="D36" t="str">
        <f t="shared" ca="1" si="0"/>
        <v>-1</v>
      </c>
      <c r="E36">
        <f ca="1">ROUND(NORMINV(RAND(),最终结果!$I$8,最终结果!$E$8),0)</f>
        <v>88</v>
      </c>
      <c r="F36">
        <f ca="1">ROUND(NORMINV(RAND(),最终结果!$I$12,最终结果!$E$12),0)</f>
        <v>127</v>
      </c>
      <c r="G36" t="str">
        <f t="shared" ca="1" si="2"/>
        <v>Home</v>
      </c>
      <c r="H36" t="str">
        <f ca="1">IF(E36+最终结果!$G$8&gt;simulation!F36,"W","L")</f>
        <v>L</v>
      </c>
      <c r="I36" t="str">
        <f ca="1">IF(F36+最终结果!$G$12&gt;simulation!E36,"W","L")</f>
        <v>W</v>
      </c>
      <c r="J36" t="str">
        <f ca="1">IF((E36+F36)&gt;最终结果!$H$8,"Over","Under")</f>
        <v>Under</v>
      </c>
    </row>
    <row r="37" spans="3:10" x14ac:dyDescent="0.25">
      <c r="C37">
        <v>36</v>
      </c>
      <c r="D37" t="str">
        <f t="shared" ca="1" si="0"/>
        <v>1</v>
      </c>
      <c r="E37">
        <f ca="1">ROUND(NORMINV(RAND(),最终结果!$I$8,最终结果!$E$8),0)</f>
        <v>129</v>
      </c>
      <c r="F37">
        <f ca="1">ROUND(NORMINV(RAND(),最终结果!$I$12,最终结果!$E$12),0)</f>
        <v>110</v>
      </c>
      <c r="G37" t="str">
        <f t="shared" ca="1" si="2"/>
        <v>Away</v>
      </c>
      <c r="H37" t="str">
        <f ca="1">IF(E37+最终结果!$G$8&gt;simulation!F37,"W","L")</f>
        <v>W</v>
      </c>
      <c r="I37" t="str">
        <f ca="1">IF(F37+最终结果!$G$12&gt;simulation!E37,"W","L")</f>
        <v>L</v>
      </c>
      <c r="J37" t="str">
        <f ca="1">IF((E37+F37)&gt;最终结果!$H$8,"Over","Under")</f>
        <v>Over</v>
      </c>
    </row>
    <row r="38" spans="3:10" x14ac:dyDescent="0.25">
      <c r="C38">
        <v>37</v>
      </c>
      <c r="D38">
        <f t="shared" ca="1" si="0"/>
        <v>0</v>
      </c>
      <c r="E38">
        <f ca="1">ROUND(NORMINV(RAND(),最终结果!$I$8,最终结果!$E$8),0)</f>
        <v>121</v>
      </c>
      <c r="F38">
        <f ca="1">ROUND(NORMINV(RAND(),最终结果!$I$12,最终结果!$E$12),0)</f>
        <v>121</v>
      </c>
      <c r="G38" t="str">
        <f t="shared" ca="1" si="2"/>
        <v>OT</v>
      </c>
      <c r="H38" t="str">
        <f ca="1">IF(E38+最终结果!$G$8&gt;simulation!F38,"W","L")</f>
        <v>W</v>
      </c>
      <c r="I38" t="str">
        <f ca="1">IF(F38+最终结果!$G$12&gt;simulation!E38,"W","L")</f>
        <v>L</v>
      </c>
      <c r="J38" t="str">
        <f ca="1">IF((E38+F38)&gt;最终结果!$H$8,"Over","Under")</f>
        <v>Over</v>
      </c>
    </row>
    <row r="39" spans="3:10" x14ac:dyDescent="0.25">
      <c r="C39">
        <v>38</v>
      </c>
      <c r="D39" t="str">
        <f t="shared" ca="1" si="0"/>
        <v>-1</v>
      </c>
      <c r="E39">
        <f ca="1">ROUND(NORMINV(RAND(),最终结果!$I$8,最终结果!$E$8),0)</f>
        <v>98</v>
      </c>
      <c r="F39">
        <f ca="1">ROUND(NORMINV(RAND(),最终结果!$I$12,最终结果!$E$12),0)</f>
        <v>109</v>
      </c>
      <c r="G39" t="str">
        <f t="shared" ca="1" si="2"/>
        <v>Home</v>
      </c>
      <c r="H39" t="str">
        <f ca="1">IF(E39+最终结果!$G$8&gt;simulation!F39,"W","L")</f>
        <v>L</v>
      </c>
      <c r="I39" t="str">
        <f ca="1">IF(F39+最终结果!$G$12&gt;simulation!E39,"W","L")</f>
        <v>W</v>
      </c>
      <c r="J39" t="str">
        <f ca="1">IF((E39+F39)&gt;最终结果!$H$8,"Over","Under")</f>
        <v>Under</v>
      </c>
    </row>
    <row r="40" spans="3:10" x14ac:dyDescent="0.25">
      <c r="C40">
        <v>39</v>
      </c>
      <c r="D40" t="str">
        <f t="shared" ca="1" si="0"/>
        <v>-1</v>
      </c>
      <c r="E40">
        <f ca="1">ROUND(NORMINV(RAND(),最终结果!$I$8,最终结果!$E$8),0)</f>
        <v>97</v>
      </c>
      <c r="F40">
        <f ca="1">ROUND(NORMINV(RAND(),最终结果!$I$12,最终结果!$E$12),0)</f>
        <v>120</v>
      </c>
      <c r="G40" t="str">
        <f t="shared" ca="1" si="2"/>
        <v>Home</v>
      </c>
      <c r="H40" t="str">
        <f ca="1">IF(E40+最终结果!$G$8&gt;simulation!F40,"W","L")</f>
        <v>L</v>
      </c>
      <c r="I40" t="str">
        <f ca="1">IF(F40+最终结果!$G$12&gt;simulation!E40,"W","L")</f>
        <v>W</v>
      </c>
      <c r="J40" t="str">
        <f ca="1">IF((E40+F40)&gt;最终结果!$H$8,"Over","Under")</f>
        <v>Under</v>
      </c>
    </row>
    <row r="41" spans="3:10" x14ac:dyDescent="0.25">
      <c r="C41">
        <v>40</v>
      </c>
      <c r="D41" t="str">
        <f t="shared" ca="1" si="0"/>
        <v>1</v>
      </c>
      <c r="E41">
        <f ca="1">ROUND(NORMINV(RAND(),最终结果!$I$8,最终结果!$E$8),0)</f>
        <v>120</v>
      </c>
      <c r="F41">
        <f ca="1">ROUND(NORMINV(RAND(),最终结果!$I$12,最终结果!$E$12),0)</f>
        <v>110</v>
      </c>
      <c r="G41" t="str">
        <f t="shared" ca="1" si="2"/>
        <v>Away</v>
      </c>
      <c r="H41" t="str">
        <f ca="1">IF(E41+最终结果!$G$8&gt;simulation!F41,"W","L")</f>
        <v>W</v>
      </c>
      <c r="I41" t="str">
        <f ca="1">IF(F41+最终结果!$G$12&gt;simulation!E41,"W","L")</f>
        <v>L</v>
      </c>
      <c r="J41" t="str">
        <f ca="1">IF((E41+F41)&gt;最终结果!$H$8,"Over","Under")</f>
        <v>Under</v>
      </c>
    </row>
    <row r="42" spans="3:10" x14ac:dyDescent="0.25">
      <c r="C42">
        <v>41</v>
      </c>
      <c r="D42" t="str">
        <f t="shared" ca="1" si="0"/>
        <v>-1</v>
      </c>
      <c r="E42">
        <f ca="1">ROUND(NORMINV(RAND(),最终结果!$I$8,最终结果!$E$8),0)</f>
        <v>119</v>
      </c>
      <c r="F42">
        <f ca="1">ROUND(NORMINV(RAND(),最终结果!$I$12,最终结果!$E$12),0)</f>
        <v>121</v>
      </c>
      <c r="G42" t="str">
        <f t="shared" ca="1" si="2"/>
        <v>Home</v>
      </c>
      <c r="H42" t="str">
        <f ca="1">IF(E42+最终结果!$G$8&gt;simulation!F42,"W","L")</f>
        <v>W</v>
      </c>
      <c r="I42" t="str">
        <f ca="1">IF(F42+最终结果!$G$12&gt;simulation!E42,"W","L")</f>
        <v>L</v>
      </c>
      <c r="J42" t="str">
        <f ca="1">IF((E42+F42)&gt;最终结果!$H$8,"Over","Under")</f>
        <v>Over</v>
      </c>
    </row>
    <row r="43" spans="3:10" x14ac:dyDescent="0.25">
      <c r="C43">
        <v>42</v>
      </c>
      <c r="D43" t="str">
        <f t="shared" ca="1" si="0"/>
        <v>-1</v>
      </c>
      <c r="E43">
        <f ca="1">ROUND(NORMINV(RAND(),最终结果!$I$8,最终结果!$E$8),0)</f>
        <v>111</v>
      </c>
      <c r="F43">
        <f ca="1">ROUND(NORMINV(RAND(),最终结果!$I$12,最终结果!$E$12),0)</f>
        <v>125</v>
      </c>
      <c r="G43" t="str">
        <f t="shared" ca="1" si="2"/>
        <v>Home</v>
      </c>
      <c r="H43" t="str">
        <f ca="1">IF(E43+最终结果!$G$8&gt;simulation!F43,"W","L")</f>
        <v>L</v>
      </c>
      <c r="I43" t="str">
        <f ca="1">IF(F43+最终结果!$G$12&gt;simulation!E43,"W","L")</f>
        <v>W</v>
      </c>
      <c r="J43" t="str">
        <f ca="1">IF((E43+F43)&gt;最终结果!$H$8,"Over","Under")</f>
        <v>Under</v>
      </c>
    </row>
    <row r="44" spans="3:10" x14ac:dyDescent="0.25">
      <c r="C44">
        <v>43</v>
      </c>
      <c r="D44" t="str">
        <f t="shared" ca="1" si="0"/>
        <v>-1</v>
      </c>
      <c r="E44">
        <f ca="1">ROUND(NORMINV(RAND(),最终结果!$I$8,最终结果!$E$8),0)</f>
        <v>113</v>
      </c>
      <c r="F44">
        <f ca="1">ROUND(NORMINV(RAND(),最终结果!$I$12,最终结果!$E$12),0)</f>
        <v>122</v>
      </c>
      <c r="G44" t="str">
        <f t="shared" ca="1" si="2"/>
        <v>Home</v>
      </c>
      <c r="H44" t="str">
        <f ca="1">IF(E44+最终结果!$G$8&gt;simulation!F44,"W","L")</f>
        <v>L</v>
      </c>
      <c r="I44" t="str">
        <f ca="1">IF(F44+最终结果!$G$12&gt;simulation!E44,"W","L")</f>
        <v>W</v>
      </c>
      <c r="J44" t="str">
        <f ca="1">IF((E44+F44)&gt;最终结果!$H$8,"Over","Under")</f>
        <v>Under</v>
      </c>
    </row>
    <row r="45" spans="3:10" x14ac:dyDescent="0.25">
      <c r="C45">
        <v>44</v>
      </c>
      <c r="D45" t="str">
        <f t="shared" ca="1" si="0"/>
        <v>-1</v>
      </c>
      <c r="E45">
        <f ca="1">ROUND(NORMINV(RAND(),最终结果!$I$8,最终结果!$E$8),0)</f>
        <v>106</v>
      </c>
      <c r="F45">
        <f ca="1">ROUND(NORMINV(RAND(),最终结果!$I$12,最终结果!$E$12),0)</f>
        <v>108</v>
      </c>
      <c r="G45" t="str">
        <f t="shared" ca="1" si="2"/>
        <v>Home</v>
      </c>
      <c r="H45" t="str">
        <f ca="1">IF(E45+最终结果!$G$8&gt;simulation!F45,"W","L")</f>
        <v>W</v>
      </c>
      <c r="I45" t="str">
        <f ca="1">IF(F45+最终结果!$G$12&gt;simulation!E45,"W","L")</f>
        <v>L</v>
      </c>
      <c r="J45" t="str">
        <f ca="1">IF((E45+F45)&gt;最终结果!$H$8,"Over","Under")</f>
        <v>Under</v>
      </c>
    </row>
    <row r="46" spans="3:10" x14ac:dyDescent="0.25">
      <c r="C46">
        <v>45</v>
      </c>
      <c r="D46" t="str">
        <f t="shared" ca="1" si="0"/>
        <v>1</v>
      </c>
      <c r="E46">
        <f ca="1">ROUND(NORMINV(RAND(),最终结果!$I$8,最终结果!$E$8),0)</f>
        <v>128</v>
      </c>
      <c r="F46">
        <f ca="1">ROUND(NORMINV(RAND(),最终结果!$I$12,最终结果!$E$12),0)</f>
        <v>102</v>
      </c>
      <c r="G46" t="str">
        <f t="shared" ca="1" si="2"/>
        <v>Away</v>
      </c>
      <c r="H46" t="str">
        <f ca="1">IF(E46+最终结果!$G$8&gt;simulation!F46,"W","L")</f>
        <v>W</v>
      </c>
      <c r="I46" t="str">
        <f ca="1">IF(F46+最终结果!$G$12&gt;simulation!E46,"W","L")</f>
        <v>L</v>
      </c>
      <c r="J46" t="str">
        <f ca="1">IF((E46+F46)&gt;最终结果!$H$8,"Over","Under")</f>
        <v>Under</v>
      </c>
    </row>
    <row r="47" spans="3:10" x14ac:dyDescent="0.25">
      <c r="C47">
        <v>46</v>
      </c>
      <c r="D47" t="str">
        <f t="shared" ca="1" si="0"/>
        <v>-1</v>
      </c>
      <c r="E47">
        <f ca="1">ROUND(NORMINV(RAND(),最终结果!$I$8,最终结果!$E$8),0)</f>
        <v>117</v>
      </c>
      <c r="F47">
        <f ca="1">ROUND(NORMINV(RAND(),最终结果!$I$12,最终结果!$E$12),0)</f>
        <v>121</v>
      </c>
      <c r="G47" t="str">
        <f t="shared" ca="1" si="2"/>
        <v>Home</v>
      </c>
      <c r="H47" t="str">
        <f ca="1">IF(E47+最终结果!$G$8&gt;simulation!F47,"W","L")</f>
        <v>L</v>
      </c>
      <c r="I47" t="str">
        <f ca="1">IF(F47+最终结果!$G$12&gt;simulation!E47,"W","L")</f>
        <v>W</v>
      </c>
      <c r="J47" t="str">
        <f ca="1">IF((E47+F47)&gt;最终结果!$H$8,"Over","Under")</f>
        <v>Over</v>
      </c>
    </row>
    <row r="48" spans="3:10" x14ac:dyDescent="0.25">
      <c r="C48">
        <v>47</v>
      </c>
      <c r="D48" t="str">
        <f t="shared" ca="1" si="0"/>
        <v>1</v>
      </c>
      <c r="E48">
        <f ca="1">ROUND(NORMINV(RAND(),最终结果!$I$8,最终结果!$E$8),0)</f>
        <v>102</v>
      </c>
      <c r="F48">
        <f ca="1">ROUND(NORMINV(RAND(),最终结果!$I$12,最终结果!$E$12),0)</f>
        <v>87</v>
      </c>
      <c r="G48" t="str">
        <f t="shared" ca="1" si="2"/>
        <v>Away</v>
      </c>
      <c r="H48" t="str">
        <f ca="1">IF(E48+最终结果!$G$8&gt;simulation!F48,"W","L")</f>
        <v>W</v>
      </c>
      <c r="I48" t="str">
        <f ca="1">IF(F48+最终结果!$G$12&gt;simulation!E48,"W","L")</f>
        <v>L</v>
      </c>
      <c r="J48" t="str">
        <f ca="1">IF((E48+F48)&gt;最终结果!$H$8,"Over","Under")</f>
        <v>Under</v>
      </c>
    </row>
    <row r="49" spans="3:10" x14ac:dyDescent="0.25">
      <c r="C49">
        <v>48</v>
      </c>
      <c r="D49" t="str">
        <f t="shared" ca="1" si="0"/>
        <v>-1</v>
      </c>
      <c r="E49">
        <f ca="1">ROUND(NORMINV(RAND(),最终结果!$I$8,最终结果!$E$8),0)</f>
        <v>118</v>
      </c>
      <c r="F49">
        <f ca="1">ROUND(NORMINV(RAND(),最终结果!$I$12,最终结果!$E$12),0)</f>
        <v>126</v>
      </c>
      <c r="G49" t="str">
        <f t="shared" ca="1" si="2"/>
        <v>Home</v>
      </c>
      <c r="H49" t="str">
        <f ca="1">IF(E49+最终结果!$G$8&gt;simulation!F49,"W","L")</f>
        <v>L</v>
      </c>
      <c r="I49" t="str">
        <f ca="1">IF(F49+最终结果!$G$12&gt;simulation!E49,"W","L")</f>
        <v>W</v>
      </c>
      <c r="J49" t="str">
        <f ca="1">IF((E49+F49)&gt;最终结果!$H$8,"Over","Under")</f>
        <v>Over</v>
      </c>
    </row>
    <row r="50" spans="3:10" x14ac:dyDescent="0.25">
      <c r="C50">
        <v>49</v>
      </c>
      <c r="D50" t="str">
        <f t="shared" ca="1" si="0"/>
        <v>-1</v>
      </c>
      <c r="E50">
        <f ca="1">ROUND(NORMINV(RAND(),最终结果!$I$8,最终结果!$E$8),0)</f>
        <v>110</v>
      </c>
      <c r="F50">
        <f ca="1">ROUND(NORMINV(RAND(),最终结果!$I$12,最终结果!$E$12),0)</f>
        <v>117</v>
      </c>
      <c r="G50" t="str">
        <f t="shared" ca="1" si="2"/>
        <v>Home</v>
      </c>
      <c r="H50" t="str">
        <f ca="1">IF(E50+最终结果!$G$8&gt;simulation!F50,"W","L")</f>
        <v>L</v>
      </c>
      <c r="I50" t="str">
        <f ca="1">IF(F50+最终结果!$G$12&gt;simulation!E50,"W","L")</f>
        <v>W</v>
      </c>
      <c r="J50" t="str">
        <f ca="1">IF((E50+F50)&gt;最终结果!$H$8,"Over","Under")</f>
        <v>Under</v>
      </c>
    </row>
    <row r="51" spans="3:10" x14ac:dyDescent="0.25">
      <c r="C51">
        <v>50</v>
      </c>
      <c r="D51" t="str">
        <f t="shared" ca="1" si="0"/>
        <v>-1</v>
      </c>
      <c r="E51">
        <f ca="1">ROUND(NORMINV(RAND(),最终结果!$I$8,最终结果!$E$8),0)</f>
        <v>121</v>
      </c>
      <c r="F51">
        <f ca="1">ROUND(NORMINV(RAND(),最终结果!$I$12,最终结果!$E$12),0)</f>
        <v>134</v>
      </c>
      <c r="G51" t="str">
        <f t="shared" ca="1" si="2"/>
        <v>Home</v>
      </c>
      <c r="H51" t="str">
        <f ca="1">IF(E51+最终结果!$G$8&gt;simulation!F51,"W","L")</f>
        <v>L</v>
      </c>
      <c r="I51" t="str">
        <f ca="1">IF(F51+最终结果!$G$12&gt;simulation!E51,"W","L")</f>
        <v>W</v>
      </c>
      <c r="J51" t="str">
        <f ca="1">IF((E51+F51)&gt;最终结果!$H$8,"Over","Under")</f>
        <v>Over</v>
      </c>
    </row>
    <row r="52" spans="3:10" x14ac:dyDescent="0.25">
      <c r="C52">
        <v>51</v>
      </c>
      <c r="D52" t="str">
        <f t="shared" ca="1" si="0"/>
        <v>1</v>
      </c>
      <c r="E52">
        <f ca="1">ROUND(NORMINV(RAND(),最终结果!$I$8,最终结果!$E$8),0)</f>
        <v>128</v>
      </c>
      <c r="F52">
        <f ca="1">ROUND(NORMINV(RAND(),最终结果!$I$12,最终结果!$E$12),0)</f>
        <v>126</v>
      </c>
      <c r="G52" t="str">
        <f t="shared" ca="1" si="2"/>
        <v>Away</v>
      </c>
      <c r="H52" t="str">
        <f ca="1">IF(E52+最终结果!$G$8&gt;simulation!F52,"W","L")</f>
        <v>W</v>
      </c>
      <c r="I52" t="str">
        <f ca="1">IF(F52+最终结果!$G$12&gt;simulation!E52,"W","L")</f>
        <v>L</v>
      </c>
      <c r="J52" t="str">
        <f ca="1">IF((E52+F52)&gt;最终结果!$H$8,"Over","Under")</f>
        <v>Over</v>
      </c>
    </row>
    <row r="53" spans="3:10" x14ac:dyDescent="0.25">
      <c r="C53">
        <v>52</v>
      </c>
      <c r="D53" t="str">
        <f t="shared" ca="1" si="0"/>
        <v>1</v>
      </c>
      <c r="E53">
        <f ca="1">ROUND(NORMINV(RAND(),最终结果!$I$8,最终结果!$E$8),0)</f>
        <v>133</v>
      </c>
      <c r="F53">
        <f ca="1">ROUND(NORMINV(RAND(),最终结果!$I$12,最终结果!$E$12),0)</f>
        <v>96</v>
      </c>
      <c r="G53" t="str">
        <f t="shared" ca="1" si="2"/>
        <v>Away</v>
      </c>
      <c r="H53" t="str">
        <f ca="1">IF(E53+最终结果!$G$8&gt;simulation!F53,"W","L")</f>
        <v>W</v>
      </c>
      <c r="I53" t="str">
        <f ca="1">IF(F53+最终结果!$G$12&gt;simulation!E53,"W","L")</f>
        <v>L</v>
      </c>
      <c r="J53" t="str">
        <f ca="1">IF((E53+F53)&gt;最终结果!$H$8,"Over","Under")</f>
        <v>Under</v>
      </c>
    </row>
    <row r="54" spans="3:10" x14ac:dyDescent="0.25">
      <c r="C54">
        <v>53</v>
      </c>
      <c r="D54" t="str">
        <f t="shared" ca="1" si="0"/>
        <v>1</v>
      </c>
      <c r="E54">
        <f ca="1">ROUND(NORMINV(RAND(),最终结果!$I$8,最终结果!$E$8),0)</f>
        <v>127</v>
      </c>
      <c r="F54">
        <f ca="1">ROUND(NORMINV(RAND(),最终结果!$I$12,最终结果!$E$12),0)</f>
        <v>126</v>
      </c>
      <c r="G54" t="str">
        <f t="shared" ca="1" si="2"/>
        <v>Away</v>
      </c>
      <c r="H54" t="str">
        <f ca="1">IF(E54+最终结果!$G$8&gt;simulation!F54,"W","L")</f>
        <v>W</v>
      </c>
      <c r="I54" t="str">
        <f ca="1">IF(F54+最终结果!$G$12&gt;simulation!E54,"W","L")</f>
        <v>L</v>
      </c>
      <c r="J54" t="str">
        <f ca="1">IF((E54+F54)&gt;最终结果!$H$8,"Over","Under")</f>
        <v>Over</v>
      </c>
    </row>
    <row r="55" spans="3:10" x14ac:dyDescent="0.25">
      <c r="C55">
        <v>54</v>
      </c>
      <c r="D55" t="str">
        <f t="shared" ca="1" si="0"/>
        <v>1</v>
      </c>
      <c r="E55">
        <f ca="1">ROUND(NORMINV(RAND(),最终结果!$I$8,最终结果!$E$8),0)</f>
        <v>112</v>
      </c>
      <c r="F55">
        <f ca="1">ROUND(NORMINV(RAND(),最终结果!$I$12,最终结果!$E$12),0)</f>
        <v>92</v>
      </c>
      <c r="G55" t="str">
        <f t="shared" ca="1" si="2"/>
        <v>Away</v>
      </c>
      <c r="H55" t="str">
        <f ca="1">IF(E55+最终结果!$G$8&gt;simulation!F55,"W","L")</f>
        <v>W</v>
      </c>
      <c r="I55" t="str">
        <f ca="1">IF(F55+最终结果!$G$12&gt;simulation!E55,"W","L")</f>
        <v>L</v>
      </c>
      <c r="J55" t="str">
        <f ca="1">IF((E55+F55)&gt;最终结果!$H$8,"Over","Under")</f>
        <v>Under</v>
      </c>
    </row>
    <row r="56" spans="3:10" x14ac:dyDescent="0.25">
      <c r="C56">
        <v>55</v>
      </c>
      <c r="D56" t="str">
        <f t="shared" ca="1" si="0"/>
        <v>-1</v>
      </c>
      <c r="E56">
        <f ca="1">ROUND(NORMINV(RAND(),最终结果!$I$8,最终结果!$E$8),0)</f>
        <v>83</v>
      </c>
      <c r="F56">
        <f ca="1">ROUND(NORMINV(RAND(),最终结果!$I$12,最终结果!$E$12),0)</f>
        <v>97</v>
      </c>
      <c r="G56" t="str">
        <f t="shared" ca="1" si="2"/>
        <v>Home</v>
      </c>
      <c r="H56" t="str">
        <f ca="1">IF(E56+最终结果!$G$8&gt;simulation!F56,"W","L")</f>
        <v>L</v>
      </c>
      <c r="I56" t="str">
        <f ca="1">IF(F56+最终结果!$G$12&gt;simulation!E56,"W","L")</f>
        <v>W</v>
      </c>
      <c r="J56" t="str">
        <f ca="1">IF((E56+F56)&gt;最终结果!$H$8,"Over","Under")</f>
        <v>Under</v>
      </c>
    </row>
    <row r="57" spans="3:10" x14ac:dyDescent="0.25">
      <c r="C57">
        <v>56</v>
      </c>
      <c r="D57" t="str">
        <f t="shared" ca="1" si="0"/>
        <v>-1</v>
      </c>
      <c r="E57">
        <f ca="1">ROUND(NORMINV(RAND(),最终结果!$I$8,最终结果!$E$8),0)</f>
        <v>108</v>
      </c>
      <c r="F57">
        <f ca="1">ROUND(NORMINV(RAND(),最终结果!$I$12,最终结果!$E$12),0)</f>
        <v>131</v>
      </c>
      <c r="G57" t="str">
        <f t="shared" ca="1" si="2"/>
        <v>Home</v>
      </c>
      <c r="H57" t="str">
        <f ca="1">IF(E57+最终结果!$G$8&gt;simulation!F57,"W","L")</f>
        <v>L</v>
      </c>
      <c r="I57" t="str">
        <f ca="1">IF(F57+最终结果!$G$12&gt;simulation!E57,"W","L")</f>
        <v>W</v>
      </c>
      <c r="J57" t="str">
        <f ca="1">IF((E57+F57)&gt;最终结果!$H$8,"Over","Under")</f>
        <v>Over</v>
      </c>
    </row>
    <row r="58" spans="3:10" x14ac:dyDescent="0.25">
      <c r="C58">
        <v>57</v>
      </c>
      <c r="D58" t="str">
        <f t="shared" ca="1" si="0"/>
        <v>1</v>
      </c>
      <c r="E58">
        <f ca="1">ROUND(NORMINV(RAND(),最终结果!$I$8,最终结果!$E$8),0)</f>
        <v>112</v>
      </c>
      <c r="F58">
        <f ca="1">ROUND(NORMINV(RAND(),最终结果!$I$12,最终结果!$E$12),0)</f>
        <v>111</v>
      </c>
      <c r="G58" t="str">
        <f t="shared" ca="1" si="2"/>
        <v>Away</v>
      </c>
      <c r="H58" t="str">
        <f ca="1">IF(E58+最终结果!$G$8&gt;simulation!F58,"W","L")</f>
        <v>W</v>
      </c>
      <c r="I58" t="str">
        <f ca="1">IF(F58+最终结果!$G$12&gt;simulation!E58,"W","L")</f>
        <v>L</v>
      </c>
      <c r="J58" t="str">
        <f ca="1">IF((E58+F58)&gt;最终结果!$H$8,"Over","Under")</f>
        <v>Under</v>
      </c>
    </row>
    <row r="59" spans="3:10" x14ac:dyDescent="0.25">
      <c r="C59">
        <v>58</v>
      </c>
      <c r="D59" t="str">
        <f t="shared" ca="1" si="0"/>
        <v>-1</v>
      </c>
      <c r="E59">
        <f ca="1">ROUND(NORMINV(RAND(),最终结果!$I$8,最终结果!$E$8),0)</f>
        <v>106</v>
      </c>
      <c r="F59">
        <f ca="1">ROUND(NORMINV(RAND(),最终结果!$I$12,最终结果!$E$12),0)</f>
        <v>133</v>
      </c>
      <c r="G59" t="str">
        <f t="shared" ca="1" si="2"/>
        <v>Home</v>
      </c>
      <c r="H59" t="str">
        <f ca="1">IF(E59+最终结果!$G$8&gt;simulation!F59,"W","L")</f>
        <v>L</v>
      </c>
      <c r="I59" t="str">
        <f ca="1">IF(F59+最终结果!$G$12&gt;simulation!E59,"W","L")</f>
        <v>W</v>
      </c>
      <c r="J59" t="str">
        <f ca="1">IF((E59+F59)&gt;最终结果!$H$8,"Over","Under")</f>
        <v>Over</v>
      </c>
    </row>
    <row r="60" spans="3:10" x14ac:dyDescent="0.25">
      <c r="C60">
        <v>59</v>
      </c>
      <c r="D60" t="str">
        <f t="shared" ca="1" si="0"/>
        <v>-1</v>
      </c>
      <c r="E60">
        <f ca="1">ROUND(NORMINV(RAND(),最终结果!$I$8,最终结果!$E$8),0)</f>
        <v>113</v>
      </c>
      <c r="F60">
        <f ca="1">ROUND(NORMINV(RAND(),最终结果!$I$12,最终结果!$E$12),0)</f>
        <v>114</v>
      </c>
      <c r="G60" t="str">
        <f t="shared" ca="1" si="2"/>
        <v>Home</v>
      </c>
      <c r="H60" t="str">
        <f ca="1">IF(E60+最终结果!$G$8&gt;simulation!F60,"W","L")</f>
        <v>W</v>
      </c>
      <c r="I60" t="str">
        <f ca="1">IF(F60+最终结果!$G$12&gt;simulation!E60,"W","L")</f>
        <v>L</v>
      </c>
      <c r="J60" t="str">
        <f ca="1">IF((E60+F60)&gt;最终结果!$H$8,"Over","Under")</f>
        <v>Under</v>
      </c>
    </row>
    <row r="61" spans="3:10" x14ac:dyDescent="0.25">
      <c r="C61">
        <v>60</v>
      </c>
      <c r="D61" t="str">
        <f t="shared" ca="1" si="0"/>
        <v>-1</v>
      </c>
      <c r="E61">
        <f ca="1">ROUND(NORMINV(RAND(),最终结果!$I$8,最终结果!$E$8),0)</f>
        <v>108</v>
      </c>
      <c r="F61">
        <f ca="1">ROUND(NORMINV(RAND(),最终结果!$I$12,最终结果!$E$12),0)</f>
        <v>116</v>
      </c>
      <c r="G61" t="str">
        <f t="shared" ca="1" si="2"/>
        <v>Home</v>
      </c>
      <c r="H61" t="str">
        <f ca="1">IF(E61+最终结果!$G$8&gt;simulation!F61,"W","L")</f>
        <v>L</v>
      </c>
      <c r="I61" t="str">
        <f ca="1">IF(F61+最终结果!$G$12&gt;simulation!E61,"W","L")</f>
        <v>W</v>
      </c>
      <c r="J61" t="str">
        <f ca="1">IF((E61+F61)&gt;最终结果!$H$8,"Over","Under")</f>
        <v>Under</v>
      </c>
    </row>
    <row r="62" spans="3:10" x14ac:dyDescent="0.25">
      <c r="C62">
        <v>61</v>
      </c>
      <c r="D62" t="str">
        <f t="shared" ca="1" si="0"/>
        <v>1</v>
      </c>
      <c r="E62">
        <f ca="1">ROUND(NORMINV(RAND(),最终结果!$I$8,最终结果!$E$8),0)</f>
        <v>125</v>
      </c>
      <c r="F62">
        <f ca="1">ROUND(NORMINV(RAND(),最终结果!$I$12,最终结果!$E$12),0)</f>
        <v>114</v>
      </c>
      <c r="G62" t="str">
        <f t="shared" ca="1" si="2"/>
        <v>Away</v>
      </c>
      <c r="H62" t="str">
        <f ca="1">IF(E62+最终结果!$G$8&gt;simulation!F62,"W","L")</f>
        <v>W</v>
      </c>
      <c r="I62" t="str">
        <f ca="1">IF(F62+最终结果!$G$12&gt;simulation!E62,"W","L")</f>
        <v>L</v>
      </c>
      <c r="J62" t="str">
        <f ca="1">IF((E62+F62)&gt;最终结果!$H$8,"Over","Under")</f>
        <v>Over</v>
      </c>
    </row>
    <row r="63" spans="3:10" x14ac:dyDescent="0.25">
      <c r="C63">
        <v>62</v>
      </c>
      <c r="D63" t="str">
        <f t="shared" ca="1" si="0"/>
        <v>1</v>
      </c>
      <c r="E63">
        <f ca="1">ROUND(NORMINV(RAND(),最终结果!$I$8,最终结果!$E$8),0)</f>
        <v>114</v>
      </c>
      <c r="F63">
        <f ca="1">ROUND(NORMINV(RAND(),最终结果!$I$12,最终结果!$E$12),0)</f>
        <v>102</v>
      </c>
      <c r="G63" t="str">
        <f t="shared" ca="1" si="2"/>
        <v>Away</v>
      </c>
      <c r="H63" t="str">
        <f ca="1">IF(E63+最终结果!$G$8&gt;simulation!F63,"W","L")</f>
        <v>W</v>
      </c>
      <c r="I63" t="str">
        <f ca="1">IF(F63+最终结果!$G$12&gt;simulation!E63,"W","L")</f>
        <v>L</v>
      </c>
      <c r="J63" t="str">
        <f ca="1">IF((E63+F63)&gt;最终结果!$H$8,"Over","Under")</f>
        <v>Under</v>
      </c>
    </row>
    <row r="64" spans="3:10" x14ac:dyDescent="0.25">
      <c r="C64">
        <v>63</v>
      </c>
      <c r="D64" t="str">
        <f t="shared" ca="1" si="0"/>
        <v>1</v>
      </c>
      <c r="E64">
        <f ca="1">ROUND(NORMINV(RAND(),最终结果!$I$8,最终结果!$E$8),0)</f>
        <v>122</v>
      </c>
      <c r="F64">
        <f ca="1">ROUND(NORMINV(RAND(),最终结果!$I$12,最终结果!$E$12),0)</f>
        <v>110</v>
      </c>
      <c r="G64" t="str">
        <f t="shared" ca="1" si="2"/>
        <v>Away</v>
      </c>
      <c r="H64" t="str">
        <f ca="1">IF(E64+最终结果!$G$8&gt;simulation!F64,"W","L")</f>
        <v>W</v>
      </c>
      <c r="I64" t="str">
        <f ca="1">IF(F64+最终结果!$G$12&gt;simulation!E64,"W","L")</f>
        <v>L</v>
      </c>
      <c r="J64" t="str">
        <f ca="1">IF((E64+F64)&gt;最终结果!$H$8,"Over","Under")</f>
        <v>Under</v>
      </c>
    </row>
    <row r="65" spans="3:10" x14ac:dyDescent="0.25">
      <c r="C65">
        <v>64</v>
      </c>
      <c r="D65" t="str">
        <f t="shared" ca="1" si="0"/>
        <v>-1</v>
      </c>
      <c r="E65">
        <f ca="1">ROUND(NORMINV(RAND(),最终结果!$I$8,最终结果!$E$8),0)</f>
        <v>116</v>
      </c>
      <c r="F65">
        <f ca="1">ROUND(NORMINV(RAND(),最终结果!$I$12,最终结果!$E$12),0)</f>
        <v>124</v>
      </c>
      <c r="G65" t="str">
        <f t="shared" ca="1" si="2"/>
        <v>Home</v>
      </c>
      <c r="H65" t="str">
        <f ca="1">IF(E65+最终结果!$G$8&gt;simulation!F65,"W","L")</f>
        <v>L</v>
      </c>
      <c r="I65" t="str">
        <f ca="1">IF(F65+最终结果!$G$12&gt;simulation!E65,"W","L")</f>
        <v>W</v>
      </c>
      <c r="J65" t="str">
        <f ca="1">IF((E65+F65)&gt;最终结果!$H$8,"Over","Under")</f>
        <v>Over</v>
      </c>
    </row>
    <row r="66" spans="3:10" x14ac:dyDescent="0.25">
      <c r="C66">
        <v>65</v>
      </c>
      <c r="D66" t="str">
        <f t="shared" ca="1" si="0"/>
        <v>-1</v>
      </c>
      <c r="E66">
        <f ca="1">ROUND(NORMINV(RAND(),最终结果!$I$8,最终结果!$E$8),0)</f>
        <v>102</v>
      </c>
      <c r="F66">
        <f ca="1">ROUND(NORMINV(RAND(),最终结果!$I$12,最终结果!$E$12),0)</f>
        <v>126</v>
      </c>
      <c r="G66" t="str">
        <f t="shared" ca="1" si="2"/>
        <v>Home</v>
      </c>
      <c r="H66" t="str">
        <f ca="1">IF(E66+最终结果!$G$8&gt;simulation!F66,"W","L")</f>
        <v>L</v>
      </c>
      <c r="I66" t="str">
        <f ca="1">IF(F66+最终结果!$G$12&gt;simulation!E66,"W","L")</f>
        <v>W</v>
      </c>
      <c r="J66" t="str">
        <f ca="1">IF((E66+F66)&gt;最终结果!$H$8,"Over","Under")</f>
        <v>Under</v>
      </c>
    </row>
    <row r="67" spans="3:10" x14ac:dyDescent="0.25">
      <c r="C67">
        <v>66</v>
      </c>
      <c r="D67" t="str">
        <f t="shared" ref="D67:D130" ca="1" si="3">IF(E67=F67,0,IF(E67&gt;F67,"1","-1"))</f>
        <v>1</v>
      </c>
      <c r="E67">
        <f ca="1">ROUND(NORMINV(RAND(),最终结果!$I$8,最终结果!$E$8),0)</f>
        <v>115</v>
      </c>
      <c r="F67">
        <f ca="1">ROUND(NORMINV(RAND(),最终结果!$I$12,最终结果!$E$12),0)</f>
        <v>110</v>
      </c>
      <c r="G67" t="str">
        <f t="shared" ca="1" si="2"/>
        <v>Away</v>
      </c>
      <c r="H67" t="str">
        <f ca="1">IF(E67+最终结果!$G$8&gt;simulation!F67,"W","L")</f>
        <v>W</v>
      </c>
      <c r="I67" t="str">
        <f ca="1">IF(F67+最终结果!$G$12&gt;simulation!E67,"W","L")</f>
        <v>L</v>
      </c>
      <c r="J67" t="str">
        <f ca="1">IF((E67+F67)&gt;最终结果!$H$8,"Over","Under")</f>
        <v>Under</v>
      </c>
    </row>
    <row r="68" spans="3:10" x14ac:dyDescent="0.25">
      <c r="C68">
        <v>67</v>
      </c>
      <c r="D68" t="str">
        <f t="shared" ca="1" si="3"/>
        <v>1</v>
      </c>
      <c r="E68">
        <f ca="1">ROUND(NORMINV(RAND(),最终结果!$I$8,最终结果!$E$8),0)</f>
        <v>133</v>
      </c>
      <c r="F68">
        <f ca="1">ROUND(NORMINV(RAND(),最终结果!$I$12,最终结果!$E$12),0)</f>
        <v>112</v>
      </c>
      <c r="G68" t="str">
        <f t="shared" ca="1" si="2"/>
        <v>Away</v>
      </c>
      <c r="H68" t="str">
        <f ca="1">IF(E68+最终结果!$G$8&gt;simulation!F68,"W","L")</f>
        <v>W</v>
      </c>
      <c r="I68" t="str">
        <f ca="1">IF(F68+最终结果!$G$12&gt;simulation!E68,"W","L")</f>
        <v>L</v>
      </c>
      <c r="J68" t="str">
        <f ca="1">IF((E68+F68)&gt;最终结果!$H$8,"Over","Under")</f>
        <v>Over</v>
      </c>
    </row>
    <row r="69" spans="3:10" x14ac:dyDescent="0.25">
      <c r="C69">
        <v>68</v>
      </c>
      <c r="D69" t="str">
        <f t="shared" ca="1" si="3"/>
        <v>-1</v>
      </c>
      <c r="E69">
        <f ca="1">ROUND(NORMINV(RAND(),最终结果!$I$8,最终结果!$E$8),0)</f>
        <v>124</v>
      </c>
      <c r="F69">
        <f ca="1">ROUND(NORMINV(RAND(),最终结果!$I$12,最终结果!$E$12),0)</f>
        <v>127</v>
      </c>
      <c r="G69" t="str">
        <f t="shared" ca="1" si="2"/>
        <v>Home</v>
      </c>
      <c r="H69" t="str">
        <f ca="1">IF(E69+最终结果!$G$8&gt;simulation!F69,"W","L")</f>
        <v>L</v>
      </c>
      <c r="I69" t="str">
        <f ca="1">IF(F69+最终结果!$G$12&gt;simulation!E69,"W","L")</f>
        <v>L</v>
      </c>
      <c r="J69" t="str">
        <f ca="1">IF((E69+F69)&gt;最终结果!$H$8,"Over","Under")</f>
        <v>Over</v>
      </c>
    </row>
    <row r="70" spans="3:10" x14ac:dyDescent="0.25">
      <c r="C70">
        <v>69</v>
      </c>
      <c r="D70" t="str">
        <f t="shared" ca="1" si="3"/>
        <v>-1</v>
      </c>
      <c r="E70">
        <f ca="1">ROUND(NORMINV(RAND(),最终结果!$I$8,最终结果!$E$8),0)</f>
        <v>106</v>
      </c>
      <c r="F70">
        <f ca="1">ROUND(NORMINV(RAND(),最终结果!$I$12,最终结果!$E$12),0)</f>
        <v>123</v>
      </c>
      <c r="G70" t="str">
        <f t="shared" ca="1" si="2"/>
        <v>Home</v>
      </c>
      <c r="H70" t="str">
        <f ca="1">IF(E70+最终结果!$G$8&gt;simulation!F70,"W","L")</f>
        <v>L</v>
      </c>
      <c r="I70" t="str">
        <f ca="1">IF(F70+最终结果!$G$12&gt;simulation!E70,"W","L")</f>
        <v>W</v>
      </c>
      <c r="J70" t="str">
        <f ca="1">IF((E70+F70)&gt;最终结果!$H$8,"Over","Under")</f>
        <v>Under</v>
      </c>
    </row>
    <row r="71" spans="3:10" x14ac:dyDescent="0.25">
      <c r="C71">
        <v>70</v>
      </c>
      <c r="D71" t="str">
        <f t="shared" ca="1" si="3"/>
        <v>-1</v>
      </c>
      <c r="E71">
        <f ca="1">ROUND(NORMINV(RAND(),最终结果!$I$8,最终结果!$E$8),0)</f>
        <v>112</v>
      </c>
      <c r="F71">
        <f ca="1">ROUND(NORMINV(RAND(),最终结果!$I$12,最终结果!$E$12),0)</f>
        <v>117</v>
      </c>
      <c r="G71" t="str">
        <f t="shared" ca="1" si="2"/>
        <v>Home</v>
      </c>
      <c r="H71" t="str">
        <f ca="1">IF(E71+最终结果!$G$8&gt;simulation!F71,"W","L")</f>
        <v>L</v>
      </c>
      <c r="I71" t="str">
        <f ca="1">IF(F71+最终结果!$G$12&gt;simulation!E71,"W","L")</f>
        <v>W</v>
      </c>
      <c r="J71" t="str">
        <f ca="1">IF((E71+F71)&gt;最终结果!$H$8,"Over","Under")</f>
        <v>Under</v>
      </c>
    </row>
    <row r="72" spans="3:10" x14ac:dyDescent="0.25">
      <c r="C72">
        <v>71</v>
      </c>
      <c r="D72" t="str">
        <f t="shared" ca="1" si="3"/>
        <v>-1</v>
      </c>
      <c r="E72">
        <f ca="1">ROUND(NORMINV(RAND(),最终结果!$I$8,最终结果!$E$8),0)</f>
        <v>112</v>
      </c>
      <c r="F72">
        <f ca="1">ROUND(NORMINV(RAND(),最终结果!$I$12,最终结果!$E$12),0)</f>
        <v>125</v>
      </c>
      <c r="G72" t="str">
        <f t="shared" ca="1" si="2"/>
        <v>Home</v>
      </c>
      <c r="H72" t="str">
        <f ca="1">IF(E72+最终结果!$G$8&gt;simulation!F72,"W","L")</f>
        <v>L</v>
      </c>
      <c r="I72" t="str">
        <f ca="1">IF(F72+最终结果!$G$12&gt;simulation!E72,"W","L")</f>
        <v>W</v>
      </c>
      <c r="J72" t="str">
        <f ca="1">IF((E72+F72)&gt;最终结果!$H$8,"Over","Under")</f>
        <v>Under</v>
      </c>
    </row>
    <row r="73" spans="3:10" x14ac:dyDescent="0.25">
      <c r="C73">
        <v>72</v>
      </c>
      <c r="D73" t="str">
        <f t="shared" ca="1" si="3"/>
        <v>-1</v>
      </c>
      <c r="E73">
        <f ca="1">ROUND(NORMINV(RAND(),最终结果!$I$8,最终结果!$E$8),0)</f>
        <v>93</v>
      </c>
      <c r="F73">
        <f ca="1">ROUND(NORMINV(RAND(),最终结果!$I$12,最终结果!$E$12),0)</f>
        <v>130</v>
      </c>
      <c r="G73" t="str">
        <f t="shared" ca="1" si="2"/>
        <v>Home</v>
      </c>
      <c r="H73" t="str">
        <f ca="1">IF(E73+最终结果!$G$8&gt;simulation!F73,"W","L")</f>
        <v>L</v>
      </c>
      <c r="I73" t="str">
        <f ca="1">IF(F73+最终结果!$G$12&gt;simulation!E73,"W","L")</f>
        <v>W</v>
      </c>
      <c r="J73" t="str">
        <f ca="1">IF((E73+F73)&gt;最终结果!$H$8,"Over","Under")</f>
        <v>Under</v>
      </c>
    </row>
    <row r="74" spans="3:10" x14ac:dyDescent="0.25">
      <c r="C74">
        <v>73</v>
      </c>
      <c r="D74" t="str">
        <f t="shared" ca="1" si="3"/>
        <v>-1</v>
      </c>
      <c r="E74">
        <f ca="1">ROUND(NORMINV(RAND(),最终结果!$I$8,最终结果!$E$8),0)</f>
        <v>86</v>
      </c>
      <c r="F74">
        <f ca="1">ROUND(NORMINV(RAND(),最终结果!$I$12,最终结果!$E$12),0)</f>
        <v>109</v>
      </c>
      <c r="G74" t="str">
        <f t="shared" ca="1" si="2"/>
        <v>Home</v>
      </c>
      <c r="H74" t="str">
        <f ca="1">IF(E74+最终结果!$G$8&gt;simulation!F74,"W","L")</f>
        <v>L</v>
      </c>
      <c r="I74" t="str">
        <f ca="1">IF(F74+最终结果!$G$12&gt;simulation!E74,"W","L")</f>
        <v>W</v>
      </c>
      <c r="J74" t="str">
        <f ca="1">IF((E74+F74)&gt;最终结果!$H$8,"Over","Under")</f>
        <v>Under</v>
      </c>
    </row>
    <row r="75" spans="3:10" x14ac:dyDescent="0.25">
      <c r="C75">
        <v>74</v>
      </c>
      <c r="D75" t="str">
        <f t="shared" ca="1" si="3"/>
        <v>1</v>
      </c>
      <c r="E75">
        <f ca="1">ROUND(NORMINV(RAND(),最终结果!$I$8,最终结果!$E$8),0)</f>
        <v>130</v>
      </c>
      <c r="F75">
        <f ca="1">ROUND(NORMINV(RAND(),最终结果!$I$12,最终结果!$E$12),0)</f>
        <v>100</v>
      </c>
      <c r="G75" t="str">
        <f t="shared" ca="1" si="2"/>
        <v>Away</v>
      </c>
      <c r="H75" t="str">
        <f ca="1">IF(E75+最终结果!$G$8&gt;simulation!F75,"W","L")</f>
        <v>W</v>
      </c>
      <c r="I75" t="str">
        <f ca="1">IF(F75+最终结果!$G$12&gt;simulation!E75,"W","L")</f>
        <v>L</v>
      </c>
      <c r="J75" t="str">
        <f ca="1">IF((E75+F75)&gt;最终结果!$H$8,"Over","Under")</f>
        <v>Under</v>
      </c>
    </row>
    <row r="76" spans="3:10" x14ac:dyDescent="0.25">
      <c r="C76">
        <v>75</v>
      </c>
      <c r="D76" t="str">
        <f t="shared" ca="1" si="3"/>
        <v>1</v>
      </c>
      <c r="E76">
        <f ca="1">ROUND(NORMINV(RAND(),最终结果!$I$8,最终结果!$E$8),0)</f>
        <v>121</v>
      </c>
      <c r="F76">
        <f ca="1">ROUND(NORMINV(RAND(),最终结果!$I$12,最终结果!$E$12),0)</f>
        <v>106</v>
      </c>
      <c r="G76" t="str">
        <f t="shared" ca="1" si="2"/>
        <v>Away</v>
      </c>
      <c r="H76" t="str">
        <f ca="1">IF(E76+最终结果!$G$8&gt;simulation!F76,"W","L")</f>
        <v>W</v>
      </c>
      <c r="I76" t="str">
        <f ca="1">IF(F76+最终结果!$G$12&gt;simulation!E76,"W","L")</f>
        <v>L</v>
      </c>
      <c r="J76" t="str">
        <f ca="1">IF((E76+F76)&gt;最终结果!$H$8,"Over","Under")</f>
        <v>Under</v>
      </c>
    </row>
    <row r="77" spans="3:10" x14ac:dyDescent="0.25">
      <c r="C77">
        <v>76</v>
      </c>
      <c r="D77" t="str">
        <f t="shared" ca="1" si="3"/>
        <v>1</v>
      </c>
      <c r="E77">
        <f ca="1">ROUND(NORMINV(RAND(),最终结果!$I$8,最终结果!$E$8),0)</f>
        <v>104</v>
      </c>
      <c r="F77">
        <f ca="1">ROUND(NORMINV(RAND(),最终结果!$I$12,最终结果!$E$12),0)</f>
        <v>103</v>
      </c>
      <c r="G77" t="str">
        <f t="shared" ca="1" si="2"/>
        <v>Away</v>
      </c>
      <c r="H77" t="str">
        <f ca="1">IF(E77+最终结果!$G$8&gt;simulation!F77,"W","L")</f>
        <v>W</v>
      </c>
      <c r="I77" t="str">
        <f ca="1">IF(F77+最终结果!$G$12&gt;simulation!E77,"W","L")</f>
        <v>L</v>
      </c>
      <c r="J77" t="str">
        <f ca="1">IF((E77+F77)&gt;最终结果!$H$8,"Over","Under")</f>
        <v>Under</v>
      </c>
    </row>
    <row r="78" spans="3:10" x14ac:dyDescent="0.25">
      <c r="C78">
        <v>77</v>
      </c>
      <c r="D78" t="str">
        <f t="shared" ca="1" si="3"/>
        <v>-1</v>
      </c>
      <c r="E78">
        <f ca="1">ROUND(NORMINV(RAND(),最终结果!$I$8,最终结果!$E$8),0)</f>
        <v>103</v>
      </c>
      <c r="F78">
        <f ca="1">ROUND(NORMINV(RAND(),最终结果!$I$12,最终结果!$E$12),0)</f>
        <v>118</v>
      </c>
      <c r="G78" t="str">
        <f t="shared" ref="G78:G141" ca="1" si="4">IF(E78=F78,"OT",IF(E78&gt;F78,"Away","Home"))</f>
        <v>Home</v>
      </c>
      <c r="H78" t="str">
        <f ca="1">IF(E78+最终结果!$G$8&gt;simulation!F78,"W","L")</f>
        <v>L</v>
      </c>
      <c r="I78" t="str">
        <f ca="1">IF(F78+最终结果!$G$12&gt;simulation!E78,"W","L")</f>
        <v>W</v>
      </c>
      <c r="J78" t="str">
        <f ca="1">IF((E78+F78)&gt;最终结果!$H$8,"Over","Under")</f>
        <v>Under</v>
      </c>
    </row>
    <row r="79" spans="3:10" x14ac:dyDescent="0.25">
      <c r="C79">
        <v>78</v>
      </c>
      <c r="D79" t="str">
        <f t="shared" ca="1" si="3"/>
        <v>1</v>
      </c>
      <c r="E79">
        <f ca="1">ROUND(NORMINV(RAND(),最终结果!$I$8,最终结果!$E$8),0)</f>
        <v>123</v>
      </c>
      <c r="F79">
        <f ca="1">ROUND(NORMINV(RAND(),最终结果!$I$12,最终结果!$E$12),0)</f>
        <v>109</v>
      </c>
      <c r="G79" t="str">
        <f t="shared" ca="1" si="4"/>
        <v>Away</v>
      </c>
      <c r="H79" t="str">
        <f ca="1">IF(E79+最终结果!$G$8&gt;simulation!F79,"W","L")</f>
        <v>W</v>
      </c>
      <c r="I79" t="str">
        <f ca="1">IF(F79+最终结果!$G$12&gt;simulation!E79,"W","L")</f>
        <v>L</v>
      </c>
      <c r="J79" t="str">
        <f ca="1">IF((E79+F79)&gt;最终结果!$H$8,"Over","Under")</f>
        <v>Under</v>
      </c>
    </row>
    <row r="80" spans="3:10" x14ac:dyDescent="0.25">
      <c r="C80">
        <v>79</v>
      </c>
      <c r="D80" t="str">
        <f t="shared" ca="1" si="3"/>
        <v>-1</v>
      </c>
      <c r="E80">
        <f ca="1">ROUND(NORMINV(RAND(),最终结果!$I$8,最终结果!$E$8),0)</f>
        <v>117</v>
      </c>
      <c r="F80">
        <f ca="1">ROUND(NORMINV(RAND(),最终结果!$I$12,最终结果!$E$12),0)</f>
        <v>121</v>
      </c>
      <c r="G80" t="str">
        <f t="shared" ca="1" si="4"/>
        <v>Home</v>
      </c>
      <c r="H80" t="str">
        <f ca="1">IF(E80+最终结果!$G$8&gt;simulation!F80,"W","L")</f>
        <v>L</v>
      </c>
      <c r="I80" t="str">
        <f ca="1">IF(F80+最终结果!$G$12&gt;simulation!E80,"W","L")</f>
        <v>W</v>
      </c>
      <c r="J80" t="str">
        <f ca="1">IF((E80+F80)&gt;最终结果!$H$8,"Over","Under")</f>
        <v>Over</v>
      </c>
    </row>
    <row r="81" spans="3:10" x14ac:dyDescent="0.25">
      <c r="C81">
        <v>80</v>
      </c>
      <c r="D81" t="str">
        <f t="shared" ca="1" si="3"/>
        <v>1</v>
      </c>
      <c r="E81">
        <f ca="1">ROUND(NORMINV(RAND(),最终结果!$I$8,最终结果!$E$8),0)</f>
        <v>110</v>
      </c>
      <c r="F81">
        <f ca="1">ROUND(NORMINV(RAND(),最终结果!$I$12,最终结果!$E$12),0)</f>
        <v>109</v>
      </c>
      <c r="G81" t="str">
        <f t="shared" ca="1" si="4"/>
        <v>Away</v>
      </c>
      <c r="H81" t="str">
        <f ca="1">IF(E81+最终结果!$G$8&gt;simulation!F81,"W","L")</f>
        <v>W</v>
      </c>
      <c r="I81" t="str">
        <f ca="1">IF(F81+最终结果!$G$12&gt;simulation!E81,"W","L")</f>
        <v>L</v>
      </c>
      <c r="J81" t="str">
        <f ca="1">IF((E81+F81)&gt;最终结果!$H$8,"Over","Under")</f>
        <v>Under</v>
      </c>
    </row>
    <row r="82" spans="3:10" x14ac:dyDescent="0.25">
      <c r="C82">
        <v>81</v>
      </c>
      <c r="D82" t="str">
        <f t="shared" ca="1" si="3"/>
        <v>-1</v>
      </c>
      <c r="E82">
        <f ca="1">ROUND(NORMINV(RAND(),最终结果!$I$8,最终结果!$E$8),0)</f>
        <v>115</v>
      </c>
      <c r="F82">
        <f ca="1">ROUND(NORMINV(RAND(),最终结果!$I$12,最终结果!$E$12),0)</f>
        <v>129</v>
      </c>
      <c r="G82" t="str">
        <f t="shared" ca="1" si="4"/>
        <v>Home</v>
      </c>
      <c r="H82" t="str">
        <f ca="1">IF(E82+最终结果!$G$8&gt;simulation!F82,"W","L")</f>
        <v>L</v>
      </c>
      <c r="I82" t="str">
        <f ca="1">IF(F82+最终结果!$G$12&gt;simulation!E82,"W","L")</f>
        <v>W</v>
      </c>
      <c r="J82" t="str">
        <f ca="1">IF((E82+F82)&gt;最终结果!$H$8,"Over","Under")</f>
        <v>Over</v>
      </c>
    </row>
    <row r="83" spans="3:10" x14ac:dyDescent="0.25">
      <c r="C83">
        <v>82</v>
      </c>
      <c r="D83" t="str">
        <f t="shared" ca="1" si="3"/>
        <v>-1</v>
      </c>
      <c r="E83">
        <f ca="1">ROUND(NORMINV(RAND(),最终结果!$I$8,最终结果!$E$8),0)</f>
        <v>112</v>
      </c>
      <c r="F83">
        <f ca="1">ROUND(NORMINV(RAND(),最终结果!$I$12,最终结果!$E$12),0)</f>
        <v>125</v>
      </c>
      <c r="G83" t="str">
        <f t="shared" ca="1" si="4"/>
        <v>Home</v>
      </c>
      <c r="H83" t="str">
        <f ca="1">IF(E83+最终结果!$G$8&gt;simulation!F83,"W","L")</f>
        <v>L</v>
      </c>
      <c r="I83" t="str">
        <f ca="1">IF(F83+最终结果!$G$12&gt;simulation!E83,"W","L")</f>
        <v>W</v>
      </c>
      <c r="J83" t="str">
        <f ca="1">IF((E83+F83)&gt;最终结果!$H$8,"Over","Under")</f>
        <v>Under</v>
      </c>
    </row>
    <row r="84" spans="3:10" x14ac:dyDescent="0.25">
      <c r="C84">
        <v>83</v>
      </c>
      <c r="D84">
        <f t="shared" ca="1" si="3"/>
        <v>0</v>
      </c>
      <c r="E84">
        <f ca="1">ROUND(NORMINV(RAND(),最终结果!$I$8,最终结果!$E$8),0)</f>
        <v>131</v>
      </c>
      <c r="F84">
        <f ca="1">ROUND(NORMINV(RAND(),最终结果!$I$12,最终结果!$E$12),0)</f>
        <v>131</v>
      </c>
      <c r="G84" t="str">
        <f t="shared" ca="1" si="4"/>
        <v>OT</v>
      </c>
      <c r="H84" t="str">
        <f ca="1">IF(E84+最终结果!$G$8&gt;simulation!F84,"W","L")</f>
        <v>W</v>
      </c>
      <c r="I84" t="str">
        <f ca="1">IF(F84+最终结果!$G$12&gt;simulation!E84,"W","L")</f>
        <v>L</v>
      </c>
      <c r="J84" t="str">
        <f ca="1">IF((E84+F84)&gt;最终结果!$H$8,"Over","Under")</f>
        <v>Over</v>
      </c>
    </row>
    <row r="85" spans="3:10" x14ac:dyDescent="0.25">
      <c r="C85">
        <v>84</v>
      </c>
      <c r="D85" t="str">
        <f t="shared" ca="1" si="3"/>
        <v>1</v>
      </c>
      <c r="E85">
        <f ca="1">ROUND(NORMINV(RAND(),最终结果!$I$8,最终结果!$E$8),0)</f>
        <v>110</v>
      </c>
      <c r="F85">
        <f ca="1">ROUND(NORMINV(RAND(),最终结果!$I$12,最终结果!$E$12),0)</f>
        <v>109</v>
      </c>
      <c r="G85" t="str">
        <f t="shared" ca="1" si="4"/>
        <v>Away</v>
      </c>
      <c r="H85" t="str">
        <f ca="1">IF(E85+最终结果!$G$8&gt;simulation!F85,"W","L")</f>
        <v>W</v>
      </c>
      <c r="I85" t="str">
        <f ca="1">IF(F85+最终结果!$G$12&gt;simulation!E85,"W","L")</f>
        <v>L</v>
      </c>
      <c r="J85" t="str">
        <f ca="1">IF((E85+F85)&gt;最终结果!$H$8,"Over","Under")</f>
        <v>Under</v>
      </c>
    </row>
    <row r="86" spans="3:10" x14ac:dyDescent="0.25">
      <c r="C86">
        <v>85</v>
      </c>
      <c r="D86" t="str">
        <f t="shared" ca="1" si="3"/>
        <v>-1</v>
      </c>
      <c r="E86">
        <f ca="1">ROUND(NORMINV(RAND(),最终结果!$I$8,最终结果!$E$8),0)</f>
        <v>102</v>
      </c>
      <c r="F86">
        <f ca="1">ROUND(NORMINV(RAND(),最终结果!$I$12,最终结果!$E$12),0)</f>
        <v>122</v>
      </c>
      <c r="G86" t="str">
        <f t="shared" ca="1" si="4"/>
        <v>Home</v>
      </c>
      <c r="H86" t="str">
        <f ca="1">IF(E86+最终结果!$G$8&gt;simulation!F86,"W","L")</f>
        <v>L</v>
      </c>
      <c r="I86" t="str">
        <f ca="1">IF(F86+最终结果!$G$12&gt;simulation!E86,"W","L")</f>
        <v>W</v>
      </c>
      <c r="J86" t="str">
        <f ca="1">IF((E86+F86)&gt;最终结果!$H$8,"Over","Under")</f>
        <v>Under</v>
      </c>
    </row>
    <row r="87" spans="3:10" x14ac:dyDescent="0.25">
      <c r="C87">
        <v>86</v>
      </c>
      <c r="D87" t="str">
        <f t="shared" ca="1" si="3"/>
        <v>-1</v>
      </c>
      <c r="E87">
        <f ca="1">ROUND(NORMINV(RAND(),最终结果!$I$8,最终结果!$E$8),0)</f>
        <v>116</v>
      </c>
      <c r="F87">
        <f ca="1">ROUND(NORMINV(RAND(),最终结果!$I$12,最终结果!$E$12),0)</f>
        <v>130</v>
      </c>
      <c r="G87" t="str">
        <f t="shared" ca="1" si="4"/>
        <v>Home</v>
      </c>
      <c r="H87" t="str">
        <f ca="1">IF(E87+最终结果!$G$8&gt;simulation!F87,"W","L")</f>
        <v>L</v>
      </c>
      <c r="I87" t="str">
        <f ca="1">IF(F87+最终结果!$G$12&gt;simulation!E87,"W","L")</f>
        <v>W</v>
      </c>
      <c r="J87" t="str">
        <f ca="1">IF((E87+F87)&gt;最终结果!$H$8,"Over","Under")</f>
        <v>Over</v>
      </c>
    </row>
    <row r="88" spans="3:10" x14ac:dyDescent="0.25">
      <c r="C88">
        <v>87</v>
      </c>
      <c r="D88" t="str">
        <f t="shared" ca="1" si="3"/>
        <v>-1</v>
      </c>
      <c r="E88">
        <f ca="1">ROUND(NORMINV(RAND(),最终结果!$I$8,最终结果!$E$8),0)</f>
        <v>101</v>
      </c>
      <c r="F88">
        <f ca="1">ROUND(NORMINV(RAND(),最终结果!$I$12,最终结果!$E$12),0)</f>
        <v>128</v>
      </c>
      <c r="G88" t="str">
        <f t="shared" ca="1" si="4"/>
        <v>Home</v>
      </c>
      <c r="H88" t="str">
        <f ca="1">IF(E88+最终结果!$G$8&gt;simulation!F88,"W","L")</f>
        <v>L</v>
      </c>
      <c r="I88" t="str">
        <f ca="1">IF(F88+最终结果!$G$12&gt;simulation!E88,"W","L")</f>
        <v>W</v>
      </c>
      <c r="J88" t="str">
        <f ca="1">IF((E88+F88)&gt;最终结果!$H$8,"Over","Under")</f>
        <v>Under</v>
      </c>
    </row>
    <row r="89" spans="3:10" x14ac:dyDescent="0.25">
      <c r="C89">
        <v>88</v>
      </c>
      <c r="D89" t="str">
        <f t="shared" ca="1" si="3"/>
        <v>1</v>
      </c>
      <c r="E89">
        <f ca="1">ROUND(NORMINV(RAND(),最终结果!$I$8,最终结果!$E$8),0)</f>
        <v>117</v>
      </c>
      <c r="F89">
        <f ca="1">ROUND(NORMINV(RAND(),最终结果!$I$12,最终结果!$E$12),0)</f>
        <v>107</v>
      </c>
      <c r="G89" t="str">
        <f t="shared" ca="1" si="4"/>
        <v>Away</v>
      </c>
      <c r="H89" t="str">
        <f ca="1">IF(E89+最终结果!$G$8&gt;simulation!F89,"W","L")</f>
        <v>W</v>
      </c>
      <c r="I89" t="str">
        <f ca="1">IF(F89+最终结果!$G$12&gt;simulation!E89,"W","L")</f>
        <v>L</v>
      </c>
      <c r="J89" t="str">
        <f ca="1">IF((E89+F89)&gt;最终结果!$H$8,"Over","Under")</f>
        <v>Under</v>
      </c>
    </row>
    <row r="90" spans="3:10" x14ac:dyDescent="0.25">
      <c r="C90">
        <v>89</v>
      </c>
      <c r="D90" t="str">
        <f t="shared" ca="1" si="3"/>
        <v>-1</v>
      </c>
      <c r="E90">
        <f ca="1">ROUND(NORMINV(RAND(),最终结果!$I$8,最终结果!$E$8),0)</f>
        <v>126</v>
      </c>
      <c r="F90">
        <f ca="1">ROUND(NORMINV(RAND(),最终结果!$I$12,最终结果!$E$12),0)</f>
        <v>128</v>
      </c>
      <c r="G90" t="str">
        <f t="shared" ca="1" si="4"/>
        <v>Home</v>
      </c>
      <c r="H90" t="str">
        <f ca="1">IF(E90+最终结果!$G$8&gt;simulation!F90,"W","L")</f>
        <v>W</v>
      </c>
      <c r="I90" t="str">
        <f ca="1">IF(F90+最终结果!$G$12&gt;simulation!E90,"W","L")</f>
        <v>L</v>
      </c>
      <c r="J90" t="str">
        <f ca="1">IF((E90+F90)&gt;最终结果!$H$8,"Over","Under")</f>
        <v>Over</v>
      </c>
    </row>
    <row r="91" spans="3:10" x14ac:dyDescent="0.25">
      <c r="C91">
        <v>90</v>
      </c>
      <c r="D91" t="str">
        <f t="shared" ca="1" si="3"/>
        <v>-1</v>
      </c>
      <c r="E91">
        <f ca="1">ROUND(NORMINV(RAND(),最终结果!$I$8,最终结果!$E$8),0)</f>
        <v>110</v>
      </c>
      <c r="F91">
        <f ca="1">ROUND(NORMINV(RAND(),最终结果!$I$12,最终结果!$E$12),0)</f>
        <v>120</v>
      </c>
      <c r="G91" t="str">
        <f t="shared" ca="1" si="4"/>
        <v>Home</v>
      </c>
      <c r="H91" t="str">
        <f ca="1">IF(E91+最终结果!$G$8&gt;simulation!F91,"W","L")</f>
        <v>L</v>
      </c>
      <c r="I91" t="str">
        <f ca="1">IF(F91+最终结果!$G$12&gt;simulation!E91,"W","L")</f>
        <v>W</v>
      </c>
      <c r="J91" t="str">
        <f ca="1">IF((E91+F91)&gt;最终结果!$H$8,"Over","Under")</f>
        <v>Under</v>
      </c>
    </row>
    <row r="92" spans="3:10" x14ac:dyDescent="0.25">
      <c r="C92">
        <v>91</v>
      </c>
      <c r="D92" t="str">
        <f t="shared" ca="1" si="3"/>
        <v>-1</v>
      </c>
      <c r="E92">
        <f ca="1">ROUND(NORMINV(RAND(),最终结果!$I$8,最终结果!$E$8),0)</f>
        <v>123</v>
      </c>
      <c r="F92">
        <f ca="1">ROUND(NORMINV(RAND(),最终结果!$I$12,最终结果!$E$12),0)</f>
        <v>139</v>
      </c>
      <c r="G92" t="str">
        <f t="shared" ca="1" si="4"/>
        <v>Home</v>
      </c>
      <c r="H92" t="str">
        <f ca="1">IF(E92+最终结果!$G$8&gt;simulation!F92,"W","L")</f>
        <v>L</v>
      </c>
      <c r="I92" t="str">
        <f ca="1">IF(F92+最终结果!$G$12&gt;simulation!E92,"W","L")</f>
        <v>W</v>
      </c>
      <c r="J92" t="str">
        <f ca="1">IF((E92+F92)&gt;最终结果!$H$8,"Over","Under")</f>
        <v>Over</v>
      </c>
    </row>
    <row r="93" spans="3:10" x14ac:dyDescent="0.25">
      <c r="C93">
        <v>92</v>
      </c>
      <c r="D93" t="str">
        <f t="shared" ca="1" si="3"/>
        <v>1</v>
      </c>
      <c r="E93">
        <f ca="1">ROUND(NORMINV(RAND(),最终结果!$I$8,最终结果!$E$8),0)</f>
        <v>141</v>
      </c>
      <c r="F93">
        <f ca="1">ROUND(NORMINV(RAND(),最终结果!$I$12,最终结果!$E$12),0)</f>
        <v>125</v>
      </c>
      <c r="G93" t="str">
        <f t="shared" ca="1" si="4"/>
        <v>Away</v>
      </c>
      <c r="H93" t="str">
        <f ca="1">IF(E93+最终结果!$G$8&gt;simulation!F93,"W","L")</f>
        <v>W</v>
      </c>
      <c r="I93" t="str">
        <f ca="1">IF(F93+最终结果!$G$12&gt;simulation!E93,"W","L")</f>
        <v>L</v>
      </c>
      <c r="J93" t="str">
        <f ca="1">IF((E93+F93)&gt;最终结果!$H$8,"Over","Under")</f>
        <v>Over</v>
      </c>
    </row>
    <row r="94" spans="3:10" x14ac:dyDescent="0.25">
      <c r="C94">
        <v>93</v>
      </c>
      <c r="D94" t="str">
        <f t="shared" ca="1" si="3"/>
        <v>-1</v>
      </c>
      <c r="E94">
        <f ca="1">ROUND(NORMINV(RAND(),最终结果!$I$8,最终结果!$E$8),0)</f>
        <v>110</v>
      </c>
      <c r="F94">
        <f ca="1">ROUND(NORMINV(RAND(),最终结果!$I$12,最终结果!$E$12),0)</f>
        <v>125</v>
      </c>
      <c r="G94" t="str">
        <f t="shared" ca="1" si="4"/>
        <v>Home</v>
      </c>
      <c r="H94" t="str">
        <f ca="1">IF(E94+最终结果!$G$8&gt;simulation!F94,"W","L")</f>
        <v>L</v>
      </c>
      <c r="I94" t="str">
        <f ca="1">IF(F94+最终结果!$G$12&gt;simulation!E94,"W","L")</f>
        <v>W</v>
      </c>
      <c r="J94" t="str">
        <f ca="1">IF((E94+F94)&gt;最终结果!$H$8,"Over","Under")</f>
        <v>Under</v>
      </c>
    </row>
    <row r="95" spans="3:10" x14ac:dyDescent="0.25">
      <c r="C95">
        <v>94</v>
      </c>
      <c r="D95" t="str">
        <f t="shared" ca="1" si="3"/>
        <v>-1</v>
      </c>
      <c r="E95">
        <f ca="1">ROUND(NORMINV(RAND(),最终结果!$I$8,最终结果!$E$8),0)</f>
        <v>111</v>
      </c>
      <c r="F95">
        <f ca="1">ROUND(NORMINV(RAND(),最终结果!$I$12,最终结果!$E$12),0)</f>
        <v>118</v>
      </c>
      <c r="G95" t="str">
        <f t="shared" ca="1" si="4"/>
        <v>Home</v>
      </c>
      <c r="H95" t="str">
        <f ca="1">IF(E95+最终结果!$G$8&gt;simulation!F95,"W","L")</f>
        <v>L</v>
      </c>
      <c r="I95" t="str">
        <f ca="1">IF(F95+最终结果!$G$12&gt;simulation!E95,"W","L")</f>
        <v>W</v>
      </c>
      <c r="J95" t="str">
        <f ca="1">IF((E95+F95)&gt;最终结果!$H$8,"Over","Under")</f>
        <v>Under</v>
      </c>
    </row>
    <row r="96" spans="3:10" x14ac:dyDescent="0.25">
      <c r="C96">
        <v>95</v>
      </c>
      <c r="D96" t="str">
        <f t="shared" ca="1" si="3"/>
        <v>1</v>
      </c>
      <c r="E96">
        <f ca="1">ROUND(NORMINV(RAND(),最终结果!$I$8,最终结果!$E$8),0)</f>
        <v>115</v>
      </c>
      <c r="F96">
        <f ca="1">ROUND(NORMINV(RAND(),最终结果!$I$12,最终结果!$E$12),0)</f>
        <v>96</v>
      </c>
      <c r="G96" t="str">
        <f t="shared" ca="1" si="4"/>
        <v>Away</v>
      </c>
      <c r="H96" t="str">
        <f ca="1">IF(E96+最终结果!$G$8&gt;simulation!F96,"W","L")</f>
        <v>W</v>
      </c>
      <c r="I96" t="str">
        <f ca="1">IF(F96+最终结果!$G$12&gt;simulation!E96,"W","L")</f>
        <v>L</v>
      </c>
      <c r="J96" t="str">
        <f ca="1">IF((E96+F96)&gt;最终结果!$H$8,"Over","Under")</f>
        <v>Under</v>
      </c>
    </row>
    <row r="97" spans="3:10" x14ac:dyDescent="0.25">
      <c r="C97">
        <v>96</v>
      </c>
      <c r="D97" t="str">
        <f t="shared" ca="1" si="3"/>
        <v>-1</v>
      </c>
      <c r="E97">
        <f ca="1">ROUND(NORMINV(RAND(),最终结果!$I$8,最终结果!$E$8),0)</f>
        <v>109</v>
      </c>
      <c r="F97">
        <f ca="1">ROUND(NORMINV(RAND(),最终结果!$I$12,最终结果!$E$12),0)</f>
        <v>135</v>
      </c>
      <c r="G97" t="str">
        <f t="shared" ca="1" si="4"/>
        <v>Home</v>
      </c>
      <c r="H97" t="str">
        <f ca="1">IF(E97+最终结果!$G$8&gt;simulation!F97,"W","L")</f>
        <v>L</v>
      </c>
      <c r="I97" t="str">
        <f ca="1">IF(F97+最终结果!$G$12&gt;simulation!E97,"W","L")</f>
        <v>W</v>
      </c>
      <c r="J97" t="str">
        <f ca="1">IF((E97+F97)&gt;最终结果!$H$8,"Over","Under")</f>
        <v>Over</v>
      </c>
    </row>
    <row r="98" spans="3:10" x14ac:dyDescent="0.25">
      <c r="C98">
        <v>97</v>
      </c>
      <c r="D98" t="str">
        <f t="shared" ca="1" si="3"/>
        <v>1</v>
      </c>
      <c r="E98">
        <f ca="1">ROUND(NORMINV(RAND(),最终结果!$I$8,最终结果!$E$8),0)</f>
        <v>130</v>
      </c>
      <c r="F98">
        <f ca="1">ROUND(NORMINV(RAND(),最终结果!$I$12,最终结果!$E$12),0)</f>
        <v>79</v>
      </c>
      <c r="G98" t="str">
        <f t="shared" ca="1" si="4"/>
        <v>Away</v>
      </c>
      <c r="H98" t="str">
        <f ca="1">IF(E98+最终结果!$G$8&gt;simulation!F98,"W","L")</f>
        <v>W</v>
      </c>
      <c r="I98" t="str">
        <f ca="1">IF(F98+最终结果!$G$12&gt;simulation!E98,"W","L")</f>
        <v>L</v>
      </c>
      <c r="J98" t="str">
        <f ca="1">IF((E98+F98)&gt;最终结果!$H$8,"Over","Under")</f>
        <v>Under</v>
      </c>
    </row>
    <row r="99" spans="3:10" x14ac:dyDescent="0.25">
      <c r="C99">
        <v>98</v>
      </c>
      <c r="D99">
        <f t="shared" ca="1" si="3"/>
        <v>0</v>
      </c>
      <c r="E99">
        <f ca="1">ROUND(NORMINV(RAND(),最终结果!$I$8,最终结果!$E$8),0)</f>
        <v>115</v>
      </c>
      <c r="F99">
        <f ca="1">ROUND(NORMINV(RAND(),最终结果!$I$12,最终结果!$E$12),0)</f>
        <v>115</v>
      </c>
      <c r="G99" t="str">
        <f t="shared" ca="1" si="4"/>
        <v>OT</v>
      </c>
      <c r="H99" t="str">
        <f ca="1">IF(E99+最终结果!$G$8&gt;simulation!F99,"W","L")</f>
        <v>W</v>
      </c>
      <c r="I99" t="str">
        <f ca="1">IF(F99+最终结果!$G$12&gt;simulation!E99,"W","L")</f>
        <v>L</v>
      </c>
      <c r="J99" t="str">
        <f ca="1">IF((E99+F99)&gt;最终结果!$H$8,"Over","Under")</f>
        <v>Under</v>
      </c>
    </row>
    <row r="100" spans="3:10" x14ac:dyDescent="0.25">
      <c r="C100">
        <v>99</v>
      </c>
      <c r="D100" t="str">
        <f t="shared" ca="1" si="3"/>
        <v>-1</v>
      </c>
      <c r="E100">
        <f ca="1">ROUND(NORMINV(RAND(),最终结果!$I$8,最终结果!$E$8),0)</f>
        <v>91</v>
      </c>
      <c r="F100">
        <f ca="1">ROUND(NORMINV(RAND(),最终结果!$I$12,最终结果!$E$12),0)</f>
        <v>100</v>
      </c>
      <c r="G100" t="str">
        <f t="shared" ca="1" si="4"/>
        <v>Home</v>
      </c>
      <c r="H100" t="str">
        <f ca="1">IF(E100+最终结果!$G$8&gt;simulation!F100,"W","L")</f>
        <v>L</v>
      </c>
      <c r="I100" t="str">
        <f ca="1">IF(F100+最终结果!$G$12&gt;simulation!E100,"W","L")</f>
        <v>W</v>
      </c>
      <c r="J100" t="str">
        <f ca="1">IF((E100+F100)&gt;最终结果!$H$8,"Over","Under")</f>
        <v>Under</v>
      </c>
    </row>
    <row r="101" spans="3:10" x14ac:dyDescent="0.25">
      <c r="C101">
        <v>100</v>
      </c>
      <c r="D101" t="str">
        <f t="shared" ca="1" si="3"/>
        <v>-1</v>
      </c>
      <c r="E101">
        <f ca="1">ROUND(NORMINV(RAND(),最终结果!$I$8,最终结果!$E$8),0)</f>
        <v>104</v>
      </c>
      <c r="F101">
        <f ca="1">ROUND(NORMINV(RAND(),最终结果!$I$12,最终结果!$E$12),0)</f>
        <v>108</v>
      </c>
      <c r="G101" t="str">
        <f t="shared" ca="1" si="4"/>
        <v>Home</v>
      </c>
      <c r="H101" t="str">
        <f ca="1">IF(E101+最终结果!$G$8&gt;simulation!F101,"W","L")</f>
        <v>L</v>
      </c>
      <c r="I101" t="str">
        <f ca="1">IF(F101+最终结果!$G$12&gt;simulation!E101,"W","L")</f>
        <v>W</v>
      </c>
      <c r="J101" t="str">
        <f ca="1">IF((E101+F101)&gt;最终结果!$H$8,"Over","Under")</f>
        <v>Under</v>
      </c>
    </row>
    <row r="102" spans="3:10" x14ac:dyDescent="0.25">
      <c r="C102">
        <v>101</v>
      </c>
      <c r="D102" t="str">
        <f t="shared" ca="1" si="3"/>
        <v>-1</v>
      </c>
      <c r="E102">
        <f ca="1">ROUND(NORMINV(RAND(),最终结果!$I$8,最终结果!$E$8),0)</f>
        <v>94</v>
      </c>
      <c r="F102">
        <f ca="1">ROUND(NORMINV(RAND(),最终结果!$I$12,最终结果!$E$12),0)</f>
        <v>123</v>
      </c>
      <c r="G102" t="str">
        <f t="shared" ca="1" si="4"/>
        <v>Home</v>
      </c>
      <c r="H102" t="str">
        <f ca="1">IF(E102+最终结果!$G$8&gt;simulation!F102,"W","L")</f>
        <v>L</v>
      </c>
      <c r="I102" t="str">
        <f ca="1">IF(F102+最终结果!$G$12&gt;simulation!E102,"W","L")</f>
        <v>W</v>
      </c>
      <c r="J102" t="str">
        <f ca="1">IF((E102+F102)&gt;最终结果!$H$8,"Over","Under")</f>
        <v>Under</v>
      </c>
    </row>
    <row r="103" spans="3:10" x14ac:dyDescent="0.25">
      <c r="C103">
        <v>102</v>
      </c>
      <c r="D103" t="str">
        <f t="shared" ca="1" si="3"/>
        <v>1</v>
      </c>
      <c r="E103">
        <f ca="1">ROUND(NORMINV(RAND(),最终结果!$I$8,最终结果!$E$8),0)</f>
        <v>110</v>
      </c>
      <c r="F103">
        <f ca="1">ROUND(NORMINV(RAND(),最终结果!$I$12,最终结果!$E$12),0)</f>
        <v>102</v>
      </c>
      <c r="G103" t="str">
        <f t="shared" ca="1" si="4"/>
        <v>Away</v>
      </c>
      <c r="H103" t="str">
        <f ca="1">IF(E103+最终结果!$G$8&gt;simulation!F103,"W","L")</f>
        <v>W</v>
      </c>
      <c r="I103" t="str">
        <f ca="1">IF(F103+最终结果!$G$12&gt;simulation!E103,"W","L")</f>
        <v>L</v>
      </c>
      <c r="J103" t="str">
        <f ca="1">IF((E103+F103)&gt;最终结果!$H$8,"Over","Under")</f>
        <v>Under</v>
      </c>
    </row>
    <row r="104" spans="3:10" x14ac:dyDescent="0.25">
      <c r="C104">
        <v>103</v>
      </c>
      <c r="D104" t="str">
        <f t="shared" ca="1" si="3"/>
        <v>-1</v>
      </c>
      <c r="E104">
        <f ca="1">ROUND(NORMINV(RAND(),最终结果!$I$8,最终结果!$E$8),0)</f>
        <v>107</v>
      </c>
      <c r="F104">
        <f ca="1">ROUND(NORMINV(RAND(),最终结果!$I$12,最终结果!$E$12),0)</f>
        <v>109</v>
      </c>
      <c r="G104" t="str">
        <f t="shared" ca="1" si="4"/>
        <v>Home</v>
      </c>
      <c r="H104" t="str">
        <f ca="1">IF(E104+最终结果!$G$8&gt;simulation!F104,"W","L")</f>
        <v>W</v>
      </c>
      <c r="I104" t="str">
        <f ca="1">IF(F104+最终结果!$G$12&gt;simulation!E104,"W","L")</f>
        <v>L</v>
      </c>
      <c r="J104" t="str">
        <f ca="1">IF((E104+F104)&gt;最终结果!$H$8,"Over","Under")</f>
        <v>Under</v>
      </c>
    </row>
    <row r="105" spans="3:10" x14ac:dyDescent="0.25">
      <c r="C105">
        <v>104</v>
      </c>
      <c r="D105" t="str">
        <f t="shared" ca="1" si="3"/>
        <v>1</v>
      </c>
      <c r="E105">
        <f ca="1">ROUND(NORMINV(RAND(),最终结果!$I$8,最终结果!$E$8),0)</f>
        <v>116</v>
      </c>
      <c r="F105">
        <f ca="1">ROUND(NORMINV(RAND(),最终结果!$I$12,最终结果!$E$12),0)</f>
        <v>115</v>
      </c>
      <c r="G105" t="str">
        <f t="shared" ca="1" si="4"/>
        <v>Away</v>
      </c>
      <c r="H105" t="str">
        <f ca="1">IF(E105+最终结果!$G$8&gt;simulation!F105,"W","L")</f>
        <v>W</v>
      </c>
      <c r="I105" t="str">
        <f ca="1">IF(F105+最终结果!$G$12&gt;simulation!E105,"W","L")</f>
        <v>L</v>
      </c>
      <c r="J105" t="str">
        <f ca="1">IF((E105+F105)&gt;最终结果!$H$8,"Over","Under")</f>
        <v>Under</v>
      </c>
    </row>
    <row r="106" spans="3:10" x14ac:dyDescent="0.25">
      <c r="C106">
        <v>105</v>
      </c>
      <c r="D106" t="str">
        <f t="shared" ca="1" si="3"/>
        <v>-1</v>
      </c>
      <c r="E106">
        <f ca="1">ROUND(NORMINV(RAND(),最终结果!$I$8,最终结果!$E$8),0)</f>
        <v>115</v>
      </c>
      <c r="F106">
        <f ca="1">ROUND(NORMINV(RAND(),最终结果!$I$12,最终结果!$E$12),0)</f>
        <v>121</v>
      </c>
      <c r="G106" t="str">
        <f t="shared" ca="1" si="4"/>
        <v>Home</v>
      </c>
      <c r="H106" t="str">
        <f ca="1">IF(E106+最终结果!$G$8&gt;simulation!F106,"W","L")</f>
        <v>L</v>
      </c>
      <c r="I106" t="str">
        <f ca="1">IF(F106+最终结果!$G$12&gt;simulation!E106,"W","L")</f>
        <v>W</v>
      </c>
      <c r="J106" t="str">
        <f ca="1">IF((E106+F106)&gt;最终结果!$H$8,"Over","Under")</f>
        <v>Under</v>
      </c>
    </row>
    <row r="107" spans="3:10" x14ac:dyDescent="0.25">
      <c r="C107">
        <v>106</v>
      </c>
      <c r="D107" t="str">
        <f t="shared" ca="1" si="3"/>
        <v>-1</v>
      </c>
      <c r="E107">
        <f ca="1">ROUND(NORMINV(RAND(),最终结果!$I$8,最终结果!$E$8),0)</f>
        <v>103</v>
      </c>
      <c r="F107">
        <f ca="1">ROUND(NORMINV(RAND(),最终结果!$I$12,最终结果!$E$12),0)</f>
        <v>127</v>
      </c>
      <c r="G107" t="str">
        <f t="shared" ca="1" si="4"/>
        <v>Home</v>
      </c>
      <c r="H107" t="str">
        <f ca="1">IF(E107+最终结果!$G$8&gt;simulation!F107,"W","L")</f>
        <v>L</v>
      </c>
      <c r="I107" t="str">
        <f ca="1">IF(F107+最终结果!$G$12&gt;simulation!E107,"W","L")</f>
        <v>W</v>
      </c>
      <c r="J107" t="str">
        <f ca="1">IF((E107+F107)&gt;最终结果!$H$8,"Over","Under")</f>
        <v>Under</v>
      </c>
    </row>
    <row r="108" spans="3:10" x14ac:dyDescent="0.25">
      <c r="C108">
        <v>107</v>
      </c>
      <c r="D108" t="str">
        <f t="shared" ca="1" si="3"/>
        <v>1</v>
      </c>
      <c r="E108">
        <f ca="1">ROUND(NORMINV(RAND(),最终结果!$I$8,最终结果!$E$8),0)</f>
        <v>118</v>
      </c>
      <c r="F108">
        <f ca="1">ROUND(NORMINV(RAND(),最终结果!$I$12,最终结果!$E$12),0)</f>
        <v>112</v>
      </c>
      <c r="G108" t="str">
        <f t="shared" ca="1" si="4"/>
        <v>Away</v>
      </c>
      <c r="H108" t="str">
        <f ca="1">IF(E108+最终结果!$G$8&gt;simulation!F108,"W","L")</f>
        <v>W</v>
      </c>
      <c r="I108" t="str">
        <f ca="1">IF(F108+最终结果!$G$12&gt;simulation!E108,"W","L")</f>
        <v>L</v>
      </c>
      <c r="J108" t="str">
        <f ca="1">IF((E108+F108)&gt;最终结果!$H$8,"Over","Under")</f>
        <v>Under</v>
      </c>
    </row>
    <row r="109" spans="3:10" x14ac:dyDescent="0.25">
      <c r="C109">
        <v>108</v>
      </c>
      <c r="D109" t="str">
        <f t="shared" ca="1" si="3"/>
        <v>1</v>
      </c>
      <c r="E109">
        <f ca="1">ROUND(NORMINV(RAND(),最终结果!$I$8,最终结果!$E$8),0)</f>
        <v>121</v>
      </c>
      <c r="F109">
        <f ca="1">ROUND(NORMINV(RAND(),最终结果!$I$12,最终结果!$E$12),0)</f>
        <v>119</v>
      </c>
      <c r="G109" t="str">
        <f t="shared" ca="1" si="4"/>
        <v>Away</v>
      </c>
      <c r="H109" t="str">
        <f ca="1">IF(E109+最终结果!$G$8&gt;simulation!F109,"W","L")</f>
        <v>W</v>
      </c>
      <c r="I109" t="str">
        <f ca="1">IF(F109+最终结果!$G$12&gt;simulation!E109,"W","L")</f>
        <v>L</v>
      </c>
      <c r="J109" t="str">
        <f ca="1">IF((E109+F109)&gt;最终结果!$H$8,"Over","Under")</f>
        <v>Over</v>
      </c>
    </row>
    <row r="110" spans="3:10" x14ac:dyDescent="0.25">
      <c r="C110">
        <v>109</v>
      </c>
      <c r="D110" t="str">
        <f t="shared" ca="1" si="3"/>
        <v>1</v>
      </c>
      <c r="E110">
        <f ca="1">ROUND(NORMINV(RAND(),最终结果!$I$8,最终结果!$E$8),0)</f>
        <v>113</v>
      </c>
      <c r="F110">
        <f ca="1">ROUND(NORMINV(RAND(),最终结果!$I$12,最终结果!$E$12),0)</f>
        <v>111</v>
      </c>
      <c r="G110" t="str">
        <f t="shared" ca="1" si="4"/>
        <v>Away</v>
      </c>
      <c r="H110" t="str">
        <f ca="1">IF(E110+最终结果!$G$8&gt;simulation!F110,"W","L")</f>
        <v>W</v>
      </c>
      <c r="I110" t="str">
        <f ca="1">IF(F110+最终结果!$G$12&gt;simulation!E110,"W","L")</f>
        <v>L</v>
      </c>
      <c r="J110" t="str">
        <f ca="1">IF((E110+F110)&gt;最终结果!$H$8,"Over","Under")</f>
        <v>Under</v>
      </c>
    </row>
    <row r="111" spans="3:10" x14ac:dyDescent="0.25">
      <c r="C111">
        <v>110</v>
      </c>
      <c r="D111" t="str">
        <f t="shared" ca="1" si="3"/>
        <v>-1</v>
      </c>
      <c r="E111">
        <f ca="1">ROUND(NORMINV(RAND(),最终结果!$I$8,最终结果!$E$8),0)</f>
        <v>106</v>
      </c>
      <c r="F111">
        <f ca="1">ROUND(NORMINV(RAND(),最终结果!$I$12,最终结果!$E$12),0)</f>
        <v>129</v>
      </c>
      <c r="G111" t="str">
        <f t="shared" ca="1" si="4"/>
        <v>Home</v>
      </c>
      <c r="H111" t="str">
        <f ca="1">IF(E111+最终结果!$G$8&gt;simulation!F111,"W","L")</f>
        <v>L</v>
      </c>
      <c r="I111" t="str">
        <f ca="1">IF(F111+最终结果!$G$12&gt;simulation!E111,"W","L")</f>
        <v>W</v>
      </c>
      <c r="J111" t="str">
        <f ca="1">IF((E111+F111)&gt;最终结果!$H$8,"Over","Under")</f>
        <v>Under</v>
      </c>
    </row>
    <row r="112" spans="3:10" x14ac:dyDescent="0.25">
      <c r="C112">
        <v>111</v>
      </c>
      <c r="D112" t="str">
        <f t="shared" ca="1" si="3"/>
        <v>-1</v>
      </c>
      <c r="E112">
        <f ca="1">ROUND(NORMINV(RAND(),最终结果!$I$8,最终结果!$E$8),0)</f>
        <v>108</v>
      </c>
      <c r="F112">
        <f ca="1">ROUND(NORMINV(RAND(),最终结果!$I$12,最终结果!$E$12),0)</f>
        <v>130</v>
      </c>
      <c r="G112" t="str">
        <f t="shared" ca="1" si="4"/>
        <v>Home</v>
      </c>
      <c r="H112" t="str">
        <f ca="1">IF(E112+最终结果!$G$8&gt;simulation!F112,"W","L")</f>
        <v>L</v>
      </c>
      <c r="I112" t="str">
        <f ca="1">IF(F112+最终结果!$G$12&gt;simulation!E112,"W","L")</f>
        <v>W</v>
      </c>
      <c r="J112" t="str">
        <f ca="1">IF((E112+F112)&gt;最终结果!$H$8,"Over","Under")</f>
        <v>Over</v>
      </c>
    </row>
    <row r="113" spans="3:10" x14ac:dyDescent="0.25">
      <c r="C113">
        <v>112</v>
      </c>
      <c r="D113" t="str">
        <f t="shared" ca="1" si="3"/>
        <v>-1</v>
      </c>
      <c r="E113">
        <f ca="1">ROUND(NORMINV(RAND(),最终结果!$I$8,最终结果!$E$8),0)</f>
        <v>105</v>
      </c>
      <c r="F113">
        <f ca="1">ROUND(NORMINV(RAND(),最终结果!$I$12,最终结果!$E$12),0)</f>
        <v>131</v>
      </c>
      <c r="G113" t="str">
        <f t="shared" ca="1" si="4"/>
        <v>Home</v>
      </c>
      <c r="H113" t="str">
        <f ca="1">IF(E113+最终结果!$G$8&gt;simulation!F113,"W","L")</f>
        <v>L</v>
      </c>
      <c r="I113" t="str">
        <f ca="1">IF(F113+最终结果!$G$12&gt;simulation!E113,"W","L")</f>
        <v>W</v>
      </c>
      <c r="J113" t="str">
        <f ca="1">IF((E113+F113)&gt;最终结果!$H$8,"Over","Under")</f>
        <v>Under</v>
      </c>
    </row>
    <row r="114" spans="3:10" x14ac:dyDescent="0.25">
      <c r="C114">
        <v>113</v>
      </c>
      <c r="D114" t="str">
        <f t="shared" ca="1" si="3"/>
        <v>-1</v>
      </c>
      <c r="E114">
        <f ca="1">ROUND(NORMINV(RAND(),最终结果!$I$8,最终结果!$E$8),0)</f>
        <v>106</v>
      </c>
      <c r="F114">
        <f ca="1">ROUND(NORMINV(RAND(),最终结果!$I$12,最终结果!$E$12),0)</f>
        <v>124</v>
      </c>
      <c r="G114" t="str">
        <f t="shared" ca="1" si="4"/>
        <v>Home</v>
      </c>
      <c r="H114" t="str">
        <f ca="1">IF(E114+最终结果!$G$8&gt;simulation!F114,"W","L")</f>
        <v>L</v>
      </c>
      <c r="I114" t="str">
        <f ca="1">IF(F114+最终结果!$G$12&gt;simulation!E114,"W","L")</f>
        <v>W</v>
      </c>
      <c r="J114" t="str">
        <f ca="1">IF((E114+F114)&gt;最终结果!$H$8,"Over","Under")</f>
        <v>Under</v>
      </c>
    </row>
    <row r="115" spans="3:10" x14ac:dyDescent="0.25">
      <c r="C115">
        <v>114</v>
      </c>
      <c r="D115" t="str">
        <f t="shared" ca="1" si="3"/>
        <v>1</v>
      </c>
      <c r="E115">
        <f ca="1">ROUND(NORMINV(RAND(),最终结果!$I$8,最终结果!$E$8),0)</f>
        <v>126</v>
      </c>
      <c r="F115">
        <f ca="1">ROUND(NORMINV(RAND(),最终结果!$I$12,最终结果!$E$12),0)</f>
        <v>113</v>
      </c>
      <c r="G115" t="str">
        <f t="shared" ca="1" si="4"/>
        <v>Away</v>
      </c>
      <c r="H115" t="str">
        <f ca="1">IF(E115+最终结果!$G$8&gt;simulation!F115,"W","L")</f>
        <v>W</v>
      </c>
      <c r="I115" t="str">
        <f ca="1">IF(F115+最终结果!$G$12&gt;simulation!E115,"W","L")</f>
        <v>L</v>
      </c>
      <c r="J115" t="str">
        <f ca="1">IF((E115+F115)&gt;最终结果!$H$8,"Over","Under")</f>
        <v>Over</v>
      </c>
    </row>
    <row r="116" spans="3:10" x14ac:dyDescent="0.25">
      <c r="C116">
        <v>115</v>
      </c>
      <c r="D116" t="str">
        <f t="shared" ca="1" si="3"/>
        <v>-1</v>
      </c>
      <c r="E116">
        <f ca="1">ROUND(NORMINV(RAND(),最终结果!$I$8,最终结果!$E$8),0)</f>
        <v>105</v>
      </c>
      <c r="F116">
        <f ca="1">ROUND(NORMINV(RAND(),最终结果!$I$12,最终结果!$E$12),0)</f>
        <v>107</v>
      </c>
      <c r="G116" t="str">
        <f t="shared" ca="1" si="4"/>
        <v>Home</v>
      </c>
      <c r="H116" t="str">
        <f ca="1">IF(E116+最终结果!$G$8&gt;simulation!F116,"W","L")</f>
        <v>W</v>
      </c>
      <c r="I116" t="str">
        <f ca="1">IF(F116+最终结果!$G$12&gt;simulation!E116,"W","L")</f>
        <v>L</v>
      </c>
      <c r="J116" t="str">
        <f ca="1">IF((E116+F116)&gt;最终结果!$H$8,"Over","Under")</f>
        <v>Under</v>
      </c>
    </row>
    <row r="117" spans="3:10" x14ac:dyDescent="0.25">
      <c r="C117">
        <v>116</v>
      </c>
      <c r="D117" t="str">
        <f t="shared" ca="1" si="3"/>
        <v>1</v>
      </c>
      <c r="E117">
        <f ca="1">ROUND(NORMINV(RAND(),最终结果!$I$8,最终结果!$E$8),0)</f>
        <v>140</v>
      </c>
      <c r="F117">
        <f ca="1">ROUND(NORMINV(RAND(),最终结果!$I$12,最终结果!$E$12),0)</f>
        <v>129</v>
      </c>
      <c r="G117" t="str">
        <f t="shared" ca="1" si="4"/>
        <v>Away</v>
      </c>
      <c r="H117" t="str">
        <f ca="1">IF(E117+最终结果!$G$8&gt;simulation!F117,"W","L")</f>
        <v>W</v>
      </c>
      <c r="I117" t="str">
        <f ca="1">IF(F117+最终结果!$G$12&gt;simulation!E117,"W","L")</f>
        <v>L</v>
      </c>
      <c r="J117" t="str">
        <f ca="1">IF((E117+F117)&gt;最终结果!$H$8,"Over","Under")</f>
        <v>Over</v>
      </c>
    </row>
    <row r="118" spans="3:10" x14ac:dyDescent="0.25">
      <c r="C118">
        <v>117</v>
      </c>
      <c r="D118" t="str">
        <f t="shared" ca="1" si="3"/>
        <v>-1</v>
      </c>
      <c r="E118">
        <f ca="1">ROUND(NORMINV(RAND(),最终结果!$I$8,最终结果!$E$8),0)</f>
        <v>97</v>
      </c>
      <c r="F118">
        <f ca="1">ROUND(NORMINV(RAND(),最终结果!$I$12,最终结果!$E$12),0)</f>
        <v>128</v>
      </c>
      <c r="G118" t="str">
        <f t="shared" ca="1" si="4"/>
        <v>Home</v>
      </c>
      <c r="H118" t="str">
        <f ca="1">IF(E118+最终结果!$G$8&gt;simulation!F118,"W","L")</f>
        <v>L</v>
      </c>
      <c r="I118" t="str">
        <f ca="1">IF(F118+最终结果!$G$12&gt;simulation!E118,"W","L")</f>
        <v>W</v>
      </c>
      <c r="J118" t="str">
        <f ca="1">IF((E118+F118)&gt;最终结果!$H$8,"Over","Under")</f>
        <v>Under</v>
      </c>
    </row>
    <row r="119" spans="3:10" x14ac:dyDescent="0.25">
      <c r="C119">
        <v>118</v>
      </c>
      <c r="D119" t="str">
        <f t="shared" ca="1" si="3"/>
        <v>-1</v>
      </c>
      <c r="E119">
        <f ca="1">ROUND(NORMINV(RAND(),最终结果!$I$8,最终结果!$E$8),0)</f>
        <v>113</v>
      </c>
      <c r="F119">
        <f ca="1">ROUND(NORMINV(RAND(),最终结果!$I$12,最终结果!$E$12),0)</f>
        <v>133</v>
      </c>
      <c r="G119" t="str">
        <f t="shared" ca="1" si="4"/>
        <v>Home</v>
      </c>
      <c r="H119" t="str">
        <f ca="1">IF(E119+最终结果!$G$8&gt;simulation!F119,"W","L")</f>
        <v>L</v>
      </c>
      <c r="I119" t="str">
        <f ca="1">IF(F119+最终结果!$G$12&gt;simulation!E119,"W","L")</f>
        <v>W</v>
      </c>
      <c r="J119" t="str">
        <f ca="1">IF((E119+F119)&gt;最终结果!$H$8,"Over","Under")</f>
        <v>Over</v>
      </c>
    </row>
    <row r="120" spans="3:10" x14ac:dyDescent="0.25">
      <c r="C120">
        <v>119</v>
      </c>
      <c r="D120" t="str">
        <f t="shared" ca="1" si="3"/>
        <v>-1</v>
      </c>
      <c r="E120">
        <f ca="1">ROUND(NORMINV(RAND(),最终结果!$I$8,最终结果!$E$8),0)</f>
        <v>106</v>
      </c>
      <c r="F120">
        <f ca="1">ROUND(NORMINV(RAND(),最终结果!$I$12,最终结果!$E$12),0)</f>
        <v>126</v>
      </c>
      <c r="G120" t="str">
        <f t="shared" ca="1" si="4"/>
        <v>Home</v>
      </c>
      <c r="H120" t="str">
        <f ca="1">IF(E120+最终结果!$G$8&gt;simulation!F120,"W","L")</f>
        <v>L</v>
      </c>
      <c r="I120" t="str">
        <f ca="1">IF(F120+最终结果!$G$12&gt;simulation!E120,"W","L")</f>
        <v>W</v>
      </c>
      <c r="J120" t="str">
        <f ca="1">IF((E120+F120)&gt;最终结果!$H$8,"Over","Under")</f>
        <v>Under</v>
      </c>
    </row>
    <row r="121" spans="3:10" x14ac:dyDescent="0.25">
      <c r="C121">
        <v>120</v>
      </c>
      <c r="D121" t="str">
        <f t="shared" ca="1" si="3"/>
        <v>1</v>
      </c>
      <c r="E121">
        <f ca="1">ROUND(NORMINV(RAND(),最终结果!$I$8,最终结果!$E$8),0)</f>
        <v>121</v>
      </c>
      <c r="F121">
        <f ca="1">ROUND(NORMINV(RAND(),最终结果!$I$12,最终结果!$E$12),0)</f>
        <v>112</v>
      </c>
      <c r="G121" t="str">
        <f t="shared" ca="1" si="4"/>
        <v>Away</v>
      </c>
      <c r="H121" t="str">
        <f ca="1">IF(E121+最终结果!$G$8&gt;simulation!F121,"W","L")</f>
        <v>W</v>
      </c>
      <c r="I121" t="str">
        <f ca="1">IF(F121+最终结果!$G$12&gt;simulation!E121,"W","L")</f>
        <v>L</v>
      </c>
      <c r="J121" t="str">
        <f ca="1">IF((E121+F121)&gt;最终结果!$H$8,"Over","Under")</f>
        <v>Under</v>
      </c>
    </row>
    <row r="122" spans="3:10" x14ac:dyDescent="0.25">
      <c r="C122">
        <v>121</v>
      </c>
      <c r="D122" t="str">
        <f t="shared" ca="1" si="3"/>
        <v>1</v>
      </c>
      <c r="E122">
        <f ca="1">ROUND(NORMINV(RAND(),最终结果!$I$8,最终结果!$E$8),0)</f>
        <v>124</v>
      </c>
      <c r="F122">
        <f ca="1">ROUND(NORMINV(RAND(),最终结果!$I$12,最终结果!$E$12),0)</f>
        <v>122</v>
      </c>
      <c r="G122" t="str">
        <f t="shared" ca="1" si="4"/>
        <v>Away</v>
      </c>
      <c r="H122" t="str">
        <f ca="1">IF(E122+最终结果!$G$8&gt;simulation!F122,"W","L")</f>
        <v>W</v>
      </c>
      <c r="I122" t="str">
        <f ca="1">IF(F122+最终结果!$G$12&gt;simulation!E122,"W","L")</f>
        <v>L</v>
      </c>
      <c r="J122" t="str">
        <f ca="1">IF((E122+F122)&gt;最终结果!$H$8,"Over","Under")</f>
        <v>Over</v>
      </c>
    </row>
    <row r="123" spans="3:10" x14ac:dyDescent="0.25">
      <c r="C123">
        <v>122</v>
      </c>
      <c r="D123" t="str">
        <f t="shared" ca="1" si="3"/>
        <v>-1</v>
      </c>
      <c r="E123">
        <f ca="1">ROUND(NORMINV(RAND(),最终结果!$I$8,最终结果!$E$8),0)</f>
        <v>104</v>
      </c>
      <c r="F123">
        <f ca="1">ROUND(NORMINV(RAND(),最终结果!$I$12,最终结果!$E$12),0)</f>
        <v>124</v>
      </c>
      <c r="G123" t="str">
        <f t="shared" ca="1" si="4"/>
        <v>Home</v>
      </c>
      <c r="H123" t="str">
        <f ca="1">IF(E123+最终结果!$G$8&gt;simulation!F123,"W","L")</f>
        <v>L</v>
      </c>
      <c r="I123" t="str">
        <f ca="1">IF(F123+最终结果!$G$12&gt;simulation!E123,"W","L")</f>
        <v>W</v>
      </c>
      <c r="J123" t="str">
        <f ca="1">IF((E123+F123)&gt;最终结果!$H$8,"Over","Under")</f>
        <v>Under</v>
      </c>
    </row>
    <row r="124" spans="3:10" x14ac:dyDescent="0.25">
      <c r="C124">
        <v>123</v>
      </c>
      <c r="D124" t="str">
        <f t="shared" ca="1" si="3"/>
        <v>-1</v>
      </c>
      <c r="E124">
        <f ca="1">ROUND(NORMINV(RAND(),最终结果!$I$8,最终结果!$E$8),0)</f>
        <v>105</v>
      </c>
      <c r="F124">
        <f ca="1">ROUND(NORMINV(RAND(),最终结果!$I$12,最终结果!$E$12),0)</f>
        <v>136</v>
      </c>
      <c r="G124" t="str">
        <f t="shared" ca="1" si="4"/>
        <v>Home</v>
      </c>
      <c r="H124" t="str">
        <f ca="1">IF(E124+最终结果!$G$8&gt;simulation!F124,"W","L")</f>
        <v>L</v>
      </c>
      <c r="I124" t="str">
        <f ca="1">IF(F124+最终结果!$G$12&gt;simulation!E124,"W","L")</f>
        <v>W</v>
      </c>
      <c r="J124" t="str">
        <f ca="1">IF((E124+F124)&gt;最终结果!$H$8,"Over","Under")</f>
        <v>Over</v>
      </c>
    </row>
    <row r="125" spans="3:10" x14ac:dyDescent="0.25">
      <c r="C125">
        <v>124</v>
      </c>
      <c r="D125" t="str">
        <f t="shared" ca="1" si="3"/>
        <v>1</v>
      </c>
      <c r="E125">
        <f ca="1">ROUND(NORMINV(RAND(),最终结果!$I$8,最终结果!$E$8),0)</f>
        <v>116</v>
      </c>
      <c r="F125">
        <f ca="1">ROUND(NORMINV(RAND(),最终结果!$I$12,最终结果!$E$12),0)</f>
        <v>102</v>
      </c>
      <c r="G125" t="str">
        <f t="shared" ca="1" si="4"/>
        <v>Away</v>
      </c>
      <c r="H125" t="str">
        <f ca="1">IF(E125+最终结果!$G$8&gt;simulation!F125,"W","L")</f>
        <v>W</v>
      </c>
      <c r="I125" t="str">
        <f ca="1">IF(F125+最终结果!$G$12&gt;simulation!E125,"W","L")</f>
        <v>L</v>
      </c>
      <c r="J125" t="str">
        <f ca="1">IF((E125+F125)&gt;最终结果!$H$8,"Over","Under")</f>
        <v>Under</v>
      </c>
    </row>
    <row r="126" spans="3:10" x14ac:dyDescent="0.25">
      <c r="C126">
        <v>125</v>
      </c>
      <c r="D126" t="str">
        <f t="shared" ca="1" si="3"/>
        <v>1</v>
      </c>
      <c r="E126">
        <f ca="1">ROUND(NORMINV(RAND(),最终结果!$I$8,最终结果!$E$8),0)</f>
        <v>125</v>
      </c>
      <c r="F126">
        <f ca="1">ROUND(NORMINV(RAND(),最终结果!$I$12,最终结果!$E$12),0)</f>
        <v>108</v>
      </c>
      <c r="G126" t="str">
        <f t="shared" ca="1" si="4"/>
        <v>Away</v>
      </c>
      <c r="H126" t="str">
        <f ca="1">IF(E126+最终结果!$G$8&gt;simulation!F126,"W","L")</f>
        <v>W</v>
      </c>
      <c r="I126" t="str">
        <f ca="1">IF(F126+最终结果!$G$12&gt;simulation!E126,"W","L")</f>
        <v>L</v>
      </c>
      <c r="J126" t="str">
        <f ca="1">IF((E126+F126)&gt;最终结果!$H$8,"Over","Under")</f>
        <v>Under</v>
      </c>
    </row>
    <row r="127" spans="3:10" x14ac:dyDescent="0.25">
      <c r="C127">
        <v>126</v>
      </c>
      <c r="D127" t="str">
        <f t="shared" ca="1" si="3"/>
        <v>-1</v>
      </c>
      <c r="E127">
        <f ca="1">ROUND(NORMINV(RAND(),最终结果!$I$8,最终结果!$E$8),0)</f>
        <v>96</v>
      </c>
      <c r="F127">
        <f ca="1">ROUND(NORMINV(RAND(),最终结果!$I$12,最终结果!$E$12),0)</f>
        <v>108</v>
      </c>
      <c r="G127" t="str">
        <f t="shared" ca="1" si="4"/>
        <v>Home</v>
      </c>
      <c r="H127" t="str">
        <f ca="1">IF(E127+最终结果!$G$8&gt;simulation!F127,"W","L")</f>
        <v>L</v>
      </c>
      <c r="I127" t="str">
        <f ca="1">IF(F127+最终结果!$G$12&gt;simulation!E127,"W","L")</f>
        <v>W</v>
      </c>
      <c r="J127" t="str">
        <f ca="1">IF((E127+F127)&gt;最终结果!$H$8,"Over","Under")</f>
        <v>Under</v>
      </c>
    </row>
    <row r="128" spans="3:10" x14ac:dyDescent="0.25">
      <c r="C128">
        <v>127</v>
      </c>
      <c r="D128" t="str">
        <f t="shared" ca="1" si="3"/>
        <v>1</v>
      </c>
      <c r="E128">
        <f ca="1">ROUND(NORMINV(RAND(),最终结果!$I$8,最终结果!$E$8),0)</f>
        <v>117</v>
      </c>
      <c r="F128">
        <f ca="1">ROUND(NORMINV(RAND(),最终结果!$I$12,最终结果!$E$12),0)</f>
        <v>107</v>
      </c>
      <c r="G128" t="str">
        <f t="shared" ca="1" si="4"/>
        <v>Away</v>
      </c>
      <c r="H128" t="str">
        <f ca="1">IF(E128+最终结果!$G$8&gt;simulation!F128,"W","L")</f>
        <v>W</v>
      </c>
      <c r="I128" t="str">
        <f ca="1">IF(F128+最终结果!$G$12&gt;simulation!E128,"W","L")</f>
        <v>L</v>
      </c>
      <c r="J128" t="str">
        <f ca="1">IF((E128+F128)&gt;最终结果!$H$8,"Over","Under")</f>
        <v>Under</v>
      </c>
    </row>
    <row r="129" spans="3:10" x14ac:dyDescent="0.25">
      <c r="C129">
        <v>128</v>
      </c>
      <c r="D129">
        <f t="shared" ca="1" si="3"/>
        <v>0</v>
      </c>
      <c r="E129">
        <f ca="1">ROUND(NORMINV(RAND(),最终结果!$I$8,最终结果!$E$8),0)</f>
        <v>116</v>
      </c>
      <c r="F129">
        <f ca="1">ROUND(NORMINV(RAND(),最终结果!$I$12,最终结果!$E$12),0)</f>
        <v>116</v>
      </c>
      <c r="G129" t="str">
        <f t="shared" ca="1" si="4"/>
        <v>OT</v>
      </c>
      <c r="H129" t="str">
        <f ca="1">IF(E129+最终结果!$G$8&gt;simulation!F129,"W","L")</f>
        <v>W</v>
      </c>
      <c r="I129" t="str">
        <f ca="1">IF(F129+最终结果!$G$12&gt;simulation!E129,"W","L")</f>
        <v>L</v>
      </c>
      <c r="J129" t="str">
        <f ca="1">IF((E129+F129)&gt;最终结果!$H$8,"Over","Under")</f>
        <v>Under</v>
      </c>
    </row>
    <row r="130" spans="3:10" x14ac:dyDescent="0.25">
      <c r="C130">
        <v>129</v>
      </c>
      <c r="D130" t="str">
        <f t="shared" ca="1" si="3"/>
        <v>-1</v>
      </c>
      <c r="E130">
        <f ca="1">ROUND(NORMINV(RAND(),最终结果!$I$8,最终结果!$E$8),0)</f>
        <v>99</v>
      </c>
      <c r="F130">
        <f ca="1">ROUND(NORMINV(RAND(),最终结果!$I$12,最终结果!$E$12),0)</f>
        <v>112</v>
      </c>
      <c r="G130" t="str">
        <f t="shared" ca="1" si="4"/>
        <v>Home</v>
      </c>
      <c r="H130" t="str">
        <f ca="1">IF(E130+最终结果!$G$8&gt;simulation!F130,"W","L")</f>
        <v>L</v>
      </c>
      <c r="I130" t="str">
        <f ca="1">IF(F130+最终结果!$G$12&gt;simulation!E130,"W","L")</f>
        <v>W</v>
      </c>
      <c r="J130" t="str">
        <f ca="1">IF((E130+F130)&gt;最终结果!$H$8,"Over","Under")</f>
        <v>Under</v>
      </c>
    </row>
    <row r="131" spans="3:10" x14ac:dyDescent="0.25">
      <c r="C131">
        <v>130</v>
      </c>
      <c r="D131" t="str">
        <f t="shared" ref="D131:D194" ca="1" si="5">IF(E131=F131,0,IF(E131&gt;F131,"1","-1"))</f>
        <v>-1</v>
      </c>
      <c r="E131">
        <f ca="1">ROUND(NORMINV(RAND(),最终结果!$I$8,最终结果!$E$8),0)</f>
        <v>112</v>
      </c>
      <c r="F131">
        <f ca="1">ROUND(NORMINV(RAND(),最终结果!$I$12,最终结果!$E$12),0)</f>
        <v>136</v>
      </c>
      <c r="G131" t="str">
        <f t="shared" ca="1" si="4"/>
        <v>Home</v>
      </c>
      <c r="H131" t="str">
        <f ca="1">IF(E131+最终结果!$G$8&gt;simulation!F131,"W","L")</f>
        <v>L</v>
      </c>
      <c r="I131" t="str">
        <f ca="1">IF(F131+最终结果!$G$12&gt;simulation!E131,"W","L")</f>
        <v>W</v>
      </c>
      <c r="J131" t="str">
        <f ca="1">IF((E131+F131)&gt;最终结果!$H$8,"Over","Under")</f>
        <v>Over</v>
      </c>
    </row>
    <row r="132" spans="3:10" x14ac:dyDescent="0.25">
      <c r="C132">
        <v>131</v>
      </c>
      <c r="D132" t="str">
        <f t="shared" ca="1" si="5"/>
        <v>1</v>
      </c>
      <c r="E132">
        <f ca="1">ROUND(NORMINV(RAND(),最终结果!$I$8,最终结果!$E$8),0)</f>
        <v>111</v>
      </c>
      <c r="F132">
        <f ca="1">ROUND(NORMINV(RAND(),最终结果!$I$12,最终结果!$E$12),0)</f>
        <v>108</v>
      </c>
      <c r="G132" t="str">
        <f t="shared" ca="1" si="4"/>
        <v>Away</v>
      </c>
      <c r="H132" t="str">
        <f ca="1">IF(E132+最终结果!$G$8&gt;simulation!F132,"W","L")</f>
        <v>W</v>
      </c>
      <c r="I132" t="str">
        <f ca="1">IF(F132+最终结果!$G$12&gt;simulation!E132,"W","L")</f>
        <v>L</v>
      </c>
      <c r="J132" t="str">
        <f ca="1">IF((E132+F132)&gt;最终结果!$H$8,"Over","Under")</f>
        <v>Under</v>
      </c>
    </row>
    <row r="133" spans="3:10" x14ac:dyDescent="0.25">
      <c r="C133">
        <v>132</v>
      </c>
      <c r="D133" t="str">
        <f t="shared" ca="1" si="5"/>
        <v>1</v>
      </c>
      <c r="E133">
        <f ca="1">ROUND(NORMINV(RAND(),最终结果!$I$8,最终结果!$E$8),0)</f>
        <v>108</v>
      </c>
      <c r="F133">
        <f ca="1">ROUND(NORMINV(RAND(),最终结果!$I$12,最终结果!$E$12),0)</f>
        <v>104</v>
      </c>
      <c r="G133" t="str">
        <f t="shared" ca="1" si="4"/>
        <v>Away</v>
      </c>
      <c r="H133" t="str">
        <f ca="1">IF(E133+最终结果!$G$8&gt;simulation!F133,"W","L")</f>
        <v>W</v>
      </c>
      <c r="I133" t="str">
        <f ca="1">IF(F133+最终结果!$G$12&gt;simulation!E133,"W","L")</f>
        <v>L</v>
      </c>
      <c r="J133" t="str">
        <f ca="1">IF((E133+F133)&gt;最终结果!$H$8,"Over","Under")</f>
        <v>Under</v>
      </c>
    </row>
    <row r="134" spans="3:10" x14ac:dyDescent="0.25">
      <c r="C134">
        <v>133</v>
      </c>
      <c r="D134" t="str">
        <f t="shared" ca="1" si="5"/>
        <v>1</v>
      </c>
      <c r="E134">
        <f ca="1">ROUND(NORMINV(RAND(),最终结果!$I$8,最终结果!$E$8),0)</f>
        <v>113</v>
      </c>
      <c r="F134">
        <f ca="1">ROUND(NORMINV(RAND(),最终结果!$I$12,最终结果!$E$12),0)</f>
        <v>106</v>
      </c>
      <c r="G134" t="str">
        <f t="shared" ca="1" si="4"/>
        <v>Away</v>
      </c>
      <c r="H134" t="str">
        <f ca="1">IF(E134+最终结果!$G$8&gt;simulation!F134,"W","L")</f>
        <v>W</v>
      </c>
      <c r="I134" t="str">
        <f ca="1">IF(F134+最终结果!$G$12&gt;simulation!E134,"W","L")</f>
        <v>L</v>
      </c>
      <c r="J134" t="str">
        <f ca="1">IF((E134+F134)&gt;最终结果!$H$8,"Over","Under")</f>
        <v>Under</v>
      </c>
    </row>
    <row r="135" spans="3:10" x14ac:dyDescent="0.25">
      <c r="C135">
        <v>134</v>
      </c>
      <c r="D135" t="str">
        <f t="shared" ca="1" si="5"/>
        <v>-1</v>
      </c>
      <c r="E135">
        <f ca="1">ROUND(NORMINV(RAND(),最终结果!$I$8,最终结果!$E$8),0)</f>
        <v>109</v>
      </c>
      <c r="F135">
        <f ca="1">ROUND(NORMINV(RAND(),最终结果!$I$12,最终结果!$E$12),0)</f>
        <v>135</v>
      </c>
      <c r="G135" t="str">
        <f t="shared" ca="1" si="4"/>
        <v>Home</v>
      </c>
      <c r="H135" t="str">
        <f ca="1">IF(E135+最终结果!$G$8&gt;simulation!F135,"W","L")</f>
        <v>L</v>
      </c>
      <c r="I135" t="str">
        <f ca="1">IF(F135+最终结果!$G$12&gt;simulation!E135,"W","L")</f>
        <v>W</v>
      </c>
      <c r="J135" t="str">
        <f ca="1">IF((E135+F135)&gt;最终结果!$H$8,"Over","Under")</f>
        <v>Over</v>
      </c>
    </row>
    <row r="136" spans="3:10" x14ac:dyDescent="0.25">
      <c r="C136">
        <v>135</v>
      </c>
      <c r="D136" t="str">
        <f t="shared" ca="1" si="5"/>
        <v>1</v>
      </c>
      <c r="E136">
        <f ca="1">ROUND(NORMINV(RAND(),最终结果!$I$8,最终结果!$E$8),0)</f>
        <v>119</v>
      </c>
      <c r="F136">
        <f ca="1">ROUND(NORMINV(RAND(),最终结果!$I$12,最终结果!$E$12),0)</f>
        <v>103</v>
      </c>
      <c r="G136" t="str">
        <f t="shared" ca="1" si="4"/>
        <v>Away</v>
      </c>
      <c r="H136" t="str">
        <f ca="1">IF(E136+最终结果!$G$8&gt;simulation!F136,"W","L")</f>
        <v>W</v>
      </c>
      <c r="I136" t="str">
        <f ca="1">IF(F136+最终结果!$G$12&gt;simulation!E136,"W","L")</f>
        <v>L</v>
      </c>
      <c r="J136" t="str">
        <f ca="1">IF((E136+F136)&gt;最终结果!$H$8,"Over","Under")</f>
        <v>Under</v>
      </c>
    </row>
    <row r="137" spans="3:10" x14ac:dyDescent="0.25">
      <c r="C137">
        <v>136</v>
      </c>
      <c r="D137" t="str">
        <f t="shared" ca="1" si="5"/>
        <v>-1</v>
      </c>
      <c r="E137">
        <f ca="1">ROUND(NORMINV(RAND(),最终结果!$I$8,最终结果!$E$8),0)</f>
        <v>113</v>
      </c>
      <c r="F137">
        <f ca="1">ROUND(NORMINV(RAND(),最终结果!$I$12,最终结果!$E$12),0)</f>
        <v>116</v>
      </c>
      <c r="G137" t="str">
        <f t="shared" ca="1" si="4"/>
        <v>Home</v>
      </c>
      <c r="H137" t="str">
        <f ca="1">IF(E137+最终结果!$G$8&gt;simulation!F137,"W","L")</f>
        <v>L</v>
      </c>
      <c r="I137" t="str">
        <f ca="1">IF(F137+最终结果!$G$12&gt;simulation!E137,"W","L")</f>
        <v>L</v>
      </c>
      <c r="J137" t="str">
        <f ca="1">IF((E137+F137)&gt;最终结果!$H$8,"Over","Under")</f>
        <v>Under</v>
      </c>
    </row>
    <row r="138" spans="3:10" x14ac:dyDescent="0.25">
      <c r="C138">
        <v>137</v>
      </c>
      <c r="D138" t="str">
        <f t="shared" ca="1" si="5"/>
        <v>-1</v>
      </c>
      <c r="E138">
        <f ca="1">ROUND(NORMINV(RAND(),最终结果!$I$8,最终结果!$E$8),0)</f>
        <v>99</v>
      </c>
      <c r="F138">
        <f ca="1">ROUND(NORMINV(RAND(),最终结果!$I$12,最终结果!$E$12),0)</f>
        <v>103</v>
      </c>
      <c r="G138" t="str">
        <f t="shared" ca="1" si="4"/>
        <v>Home</v>
      </c>
      <c r="H138" t="str">
        <f ca="1">IF(E138+最终结果!$G$8&gt;simulation!F138,"W","L")</f>
        <v>L</v>
      </c>
      <c r="I138" t="str">
        <f ca="1">IF(F138+最终结果!$G$12&gt;simulation!E138,"W","L")</f>
        <v>W</v>
      </c>
      <c r="J138" t="str">
        <f ca="1">IF((E138+F138)&gt;最终结果!$H$8,"Over","Under")</f>
        <v>Under</v>
      </c>
    </row>
    <row r="139" spans="3:10" x14ac:dyDescent="0.25">
      <c r="C139">
        <v>138</v>
      </c>
      <c r="D139" t="str">
        <f t="shared" ca="1" si="5"/>
        <v>-1</v>
      </c>
      <c r="E139">
        <f ca="1">ROUND(NORMINV(RAND(),最终结果!$I$8,最终结果!$E$8),0)</f>
        <v>100</v>
      </c>
      <c r="F139">
        <f ca="1">ROUND(NORMINV(RAND(),最终结果!$I$12,最终结果!$E$12),0)</f>
        <v>139</v>
      </c>
      <c r="G139" t="str">
        <f t="shared" ca="1" si="4"/>
        <v>Home</v>
      </c>
      <c r="H139" t="str">
        <f ca="1">IF(E139+最终结果!$G$8&gt;simulation!F139,"W","L")</f>
        <v>L</v>
      </c>
      <c r="I139" t="str">
        <f ca="1">IF(F139+最终结果!$G$12&gt;simulation!E139,"W","L")</f>
        <v>W</v>
      </c>
      <c r="J139" t="str">
        <f ca="1">IF((E139+F139)&gt;最终结果!$H$8,"Over","Under")</f>
        <v>Over</v>
      </c>
    </row>
    <row r="140" spans="3:10" x14ac:dyDescent="0.25">
      <c r="C140">
        <v>139</v>
      </c>
      <c r="D140" t="str">
        <f t="shared" ca="1" si="5"/>
        <v>-1</v>
      </c>
      <c r="E140">
        <f ca="1">ROUND(NORMINV(RAND(),最终结果!$I$8,最终结果!$E$8),0)</f>
        <v>109</v>
      </c>
      <c r="F140">
        <f ca="1">ROUND(NORMINV(RAND(),最终结果!$I$12,最终结果!$E$12),0)</f>
        <v>125</v>
      </c>
      <c r="G140" t="str">
        <f t="shared" ca="1" si="4"/>
        <v>Home</v>
      </c>
      <c r="H140" t="str">
        <f ca="1">IF(E140+最终结果!$G$8&gt;simulation!F140,"W","L")</f>
        <v>L</v>
      </c>
      <c r="I140" t="str">
        <f ca="1">IF(F140+最终结果!$G$12&gt;simulation!E140,"W","L")</f>
        <v>W</v>
      </c>
      <c r="J140" t="str">
        <f ca="1">IF((E140+F140)&gt;最终结果!$H$8,"Over","Under")</f>
        <v>Under</v>
      </c>
    </row>
    <row r="141" spans="3:10" x14ac:dyDescent="0.25">
      <c r="C141">
        <v>140</v>
      </c>
      <c r="D141" t="str">
        <f t="shared" ca="1" si="5"/>
        <v>-1</v>
      </c>
      <c r="E141">
        <f ca="1">ROUND(NORMINV(RAND(),最终结果!$I$8,最终结果!$E$8),0)</f>
        <v>120</v>
      </c>
      <c r="F141">
        <f ca="1">ROUND(NORMINV(RAND(),最终结果!$I$12,最终结果!$E$12),0)</f>
        <v>138</v>
      </c>
      <c r="G141" t="str">
        <f t="shared" ca="1" si="4"/>
        <v>Home</v>
      </c>
      <c r="H141" t="str">
        <f ca="1">IF(E141+最终结果!$G$8&gt;simulation!F141,"W","L")</f>
        <v>L</v>
      </c>
      <c r="I141" t="str">
        <f ca="1">IF(F141+最终结果!$G$12&gt;simulation!E141,"W","L")</f>
        <v>W</v>
      </c>
      <c r="J141" t="str">
        <f ca="1">IF((E141+F141)&gt;最终结果!$H$8,"Over","Under")</f>
        <v>Over</v>
      </c>
    </row>
    <row r="142" spans="3:10" x14ac:dyDescent="0.25">
      <c r="C142">
        <v>141</v>
      </c>
      <c r="D142" t="str">
        <f t="shared" ca="1" si="5"/>
        <v>-1</v>
      </c>
      <c r="E142">
        <f ca="1">ROUND(NORMINV(RAND(),最终结果!$I$8,最终结果!$E$8),0)</f>
        <v>114</v>
      </c>
      <c r="F142">
        <f ca="1">ROUND(NORMINV(RAND(),最终结果!$I$12,最终结果!$E$12),0)</f>
        <v>121</v>
      </c>
      <c r="G142" t="str">
        <f t="shared" ref="G142:G205" ca="1" si="6">IF(E142=F142,"OT",IF(E142&gt;F142,"Away","Home"))</f>
        <v>Home</v>
      </c>
      <c r="H142" t="str">
        <f ca="1">IF(E142+最终结果!$G$8&gt;simulation!F142,"W","L")</f>
        <v>L</v>
      </c>
      <c r="I142" t="str">
        <f ca="1">IF(F142+最终结果!$G$12&gt;simulation!E142,"W","L")</f>
        <v>W</v>
      </c>
      <c r="J142" t="str">
        <f ca="1">IF((E142+F142)&gt;最终结果!$H$8,"Over","Under")</f>
        <v>Under</v>
      </c>
    </row>
    <row r="143" spans="3:10" x14ac:dyDescent="0.25">
      <c r="C143">
        <v>142</v>
      </c>
      <c r="D143" t="str">
        <f t="shared" ca="1" si="5"/>
        <v>-1</v>
      </c>
      <c r="E143">
        <f ca="1">ROUND(NORMINV(RAND(),最终结果!$I$8,最终结果!$E$8),0)</f>
        <v>102</v>
      </c>
      <c r="F143">
        <f ca="1">ROUND(NORMINV(RAND(),最终结果!$I$12,最终结果!$E$12),0)</f>
        <v>132</v>
      </c>
      <c r="G143" t="str">
        <f t="shared" ca="1" si="6"/>
        <v>Home</v>
      </c>
      <c r="H143" t="str">
        <f ca="1">IF(E143+最终结果!$G$8&gt;simulation!F143,"W","L")</f>
        <v>L</v>
      </c>
      <c r="I143" t="str">
        <f ca="1">IF(F143+最终结果!$G$12&gt;simulation!E143,"W","L")</f>
        <v>W</v>
      </c>
      <c r="J143" t="str">
        <f ca="1">IF((E143+F143)&gt;最终结果!$H$8,"Over","Under")</f>
        <v>Under</v>
      </c>
    </row>
    <row r="144" spans="3:10" x14ac:dyDescent="0.25">
      <c r="C144">
        <v>143</v>
      </c>
      <c r="D144" t="str">
        <f t="shared" ca="1" si="5"/>
        <v>1</v>
      </c>
      <c r="E144">
        <f ca="1">ROUND(NORMINV(RAND(),最终结果!$I$8,最终结果!$E$8),0)</f>
        <v>105</v>
      </c>
      <c r="F144">
        <f ca="1">ROUND(NORMINV(RAND(),最终结果!$I$12,最终结果!$E$12),0)</f>
        <v>104</v>
      </c>
      <c r="G144" t="str">
        <f t="shared" ca="1" si="6"/>
        <v>Away</v>
      </c>
      <c r="H144" t="str">
        <f ca="1">IF(E144+最终结果!$G$8&gt;simulation!F144,"W","L")</f>
        <v>W</v>
      </c>
      <c r="I144" t="str">
        <f ca="1">IF(F144+最终结果!$G$12&gt;simulation!E144,"W","L")</f>
        <v>L</v>
      </c>
      <c r="J144" t="str">
        <f ca="1">IF((E144+F144)&gt;最终结果!$H$8,"Over","Under")</f>
        <v>Under</v>
      </c>
    </row>
    <row r="145" spans="3:10" x14ac:dyDescent="0.25">
      <c r="C145">
        <v>144</v>
      </c>
      <c r="D145" t="str">
        <f t="shared" ca="1" si="5"/>
        <v>1</v>
      </c>
      <c r="E145">
        <f ca="1">ROUND(NORMINV(RAND(),最终结果!$I$8,最终结果!$E$8),0)</f>
        <v>129</v>
      </c>
      <c r="F145">
        <f ca="1">ROUND(NORMINV(RAND(),最终结果!$I$12,最终结果!$E$12),0)</f>
        <v>127</v>
      </c>
      <c r="G145" t="str">
        <f t="shared" ca="1" si="6"/>
        <v>Away</v>
      </c>
      <c r="H145" t="str">
        <f ca="1">IF(E145+最终结果!$G$8&gt;simulation!F145,"W","L")</f>
        <v>W</v>
      </c>
      <c r="I145" t="str">
        <f ca="1">IF(F145+最终结果!$G$12&gt;simulation!E145,"W","L")</f>
        <v>L</v>
      </c>
      <c r="J145" t="str">
        <f ca="1">IF((E145+F145)&gt;最终结果!$H$8,"Over","Under")</f>
        <v>Over</v>
      </c>
    </row>
    <row r="146" spans="3:10" x14ac:dyDescent="0.25">
      <c r="C146">
        <v>145</v>
      </c>
      <c r="D146" t="str">
        <f t="shared" ca="1" si="5"/>
        <v>-1</v>
      </c>
      <c r="E146">
        <f ca="1">ROUND(NORMINV(RAND(),最终结果!$I$8,最终结果!$E$8),0)</f>
        <v>112</v>
      </c>
      <c r="F146">
        <f ca="1">ROUND(NORMINV(RAND(),最终结果!$I$12,最终结果!$E$12),0)</f>
        <v>150</v>
      </c>
      <c r="G146" t="str">
        <f t="shared" ca="1" si="6"/>
        <v>Home</v>
      </c>
      <c r="H146" t="str">
        <f ca="1">IF(E146+最终结果!$G$8&gt;simulation!F146,"W","L")</f>
        <v>L</v>
      </c>
      <c r="I146" t="str">
        <f ca="1">IF(F146+最终结果!$G$12&gt;simulation!E146,"W","L")</f>
        <v>W</v>
      </c>
      <c r="J146" t="str">
        <f ca="1">IF((E146+F146)&gt;最终结果!$H$8,"Over","Under")</f>
        <v>Over</v>
      </c>
    </row>
    <row r="147" spans="3:10" x14ac:dyDescent="0.25">
      <c r="C147">
        <v>146</v>
      </c>
      <c r="D147" t="str">
        <f t="shared" ca="1" si="5"/>
        <v>-1</v>
      </c>
      <c r="E147">
        <f ca="1">ROUND(NORMINV(RAND(),最终结果!$I$8,最终结果!$E$8),0)</f>
        <v>108</v>
      </c>
      <c r="F147">
        <f ca="1">ROUND(NORMINV(RAND(),最终结果!$I$12,最终结果!$E$12),0)</f>
        <v>118</v>
      </c>
      <c r="G147" t="str">
        <f t="shared" ca="1" si="6"/>
        <v>Home</v>
      </c>
      <c r="H147" t="str">
        <f ca="1">IF(E147+最终结果!$G$8&gt;simulation!F147,"W","L")</f>
        <v>L</v>
      </c>
      <c r="I147" t="str">
        <f ca="1">IF(F147+最终结果!$G$12&gt;simulation!E147,"W","L")</f>
        <v>W</v>
      </c>
      <c r="J147" t="str">
        <f ca="1">IF((E147+F147)&gt;最终结果!$H$8,"Over","Under")</f>
        <v>Under</v>
      </c>
    </row>
    <row r="148" spans="3:10" x14ac:dyDescent="0.25">
      <c r="C148">
        <v>147</v>
      </c>
      <c r="D148" t="str">
        <f t="shared" ca="1" si="5"/>
        <v>-1</v>
      </c>
      <c r="E148">
        <f ca="1">ROUND(NORMINV(RAND(),最终结果!$I$8,最终结果!$E$8),0)</f>
        <v>117</v>
      </c>
      <c r="F148">
        <f ca="1">ROUND(NORMINV(RAND(),最终结果!$I$12,最终结果!$E$12),0)</f>
        <v>140</v>
      </c>
      <c r="G148" t="str">
        <f t="shared" ca="1" si="6"/>
        <v>Home</v>
      </c>
      <c r="H148" t="str">
        <f ca="1">IF(E148+最终结果!$G$8&gt;simulation!F148,"W","L")</f>
        <v>L</v>
      </c>
      <c r="I148" t="str">
        <f ca="1">IF(F148+最终结果!$G$12&gt;simulation!E148,"W","L")</f>
        <v>W</v>
      </c>
      <c r="J148" t="str">
        <f ca="1">IF((E148+F148)&gt;最终结果!$H$8,"Over","Under")</f>
        <v>Over</v>
      </c>
    </row>
    <row r="149" spans="3:10" x14ac:dyDescent="0.25">
      <c r="C149">
        <v>148</v>
      </c>
      <c r="D149" t="str">
        <f t="shared" ca="1" si="5"/>
        <v>-1</v>
      </c>
      <c r="E149">
        <f ca="1">ROUND(NORMINV(RAND(),最终结果!$I$8,最终结果!$E$8),0)</f>
        <v>104</v>
      </c>
      <c r="F149">
        <f ca="1">ROUND(NORMINV(RAND(),最终结果!$I$12,最终结果!$E$12),0)</f>
        <v>126</v>
      </c>
      <c r="G149" t="str">
        <f t="shared" ca="1" si="6"/>
        <v>Home</v>
      </c>
      <c r="H149" t="str">
        <f ca="1">IF(E149+最终结果!$G$8&gt;simulation!F149,"W","L")</f>
        <v>L</v>
      </c>
      <c r="I149" t="str">
        <f ca="1">IF(F149+最终结果!$G$12&gt;simulation!E149,"W","L")</f>
        <v>W</v>
      </c>
      <c r="J149" t="str">
        <f ca="1">IF((E149+F149)&gt;最终结果!$H$8,"Over","Under")</f>
        <v>Under</v>
      </c>
    </row>
    <row r="150" spans="3:10" x14ac:dyDescent="0.25">
      <c r="C150">
        <v>149</v>
      </c>
      <c r="D150" t="str">
        <f t="shared" ca="1" si="5"/>
        <v>-1</v>
      </c>
      <c r="E150">
        <f ca="1">ROUND(NORMINV(RAND(),最终结果!$I$8,最终结果!$E$8),0)</f>
        <v>103</v>
      </c>
      <c r="F150">
        <f ca="1">ROUND(NORMINV(RAND(),最终结果!$I$12,最终结果!$E$12),0)</f>
        <v>125</v>
      </c>
      <c r="G150" t="str">
        <f t="shared" ca="1" si="6"/>
        <v>Home</v>
      </c>
      <c r="H150" t="str">
        <f ca="1">IF(E150+最终结果!$G$8&gt;simulation!F150,"W","L")</f>
        <v>L</v>
      </c>
      <c r="I150" t="str">
        <f ca="1">IF(F150+最终结果!$G$12&gt;simulation!E150,"W","L")</f>
        <v>W</v>
      </c>
      <c r="J150" t="str">
        <f ca="1">IF((E150+F150)&gt;最终结果!$H$8,"Over","Under")</f>
        <v>Under</v>
      </c>
    </row>
    <row r="151" spans="3:10" x14ac:dyDescent="0.25">
      <c r="C151">
        <v>150</v>
      </c>
      <c r="D151" t="str">
        <f t="shared" ca="1" si="5"/>
        <v>1</v>
      </c>
      <c r="E151">
        <f ca="1">ROUND(NORMINV(RAND(),最终结果!$I$8,最终结果!$E$8),0)</f>
        <v>116</v>
      </c>
      <c r="F151">
        <f ca="1">ROUND(NORMINV(RAND(),最终结果!$I$12,最终结果!$E$12),0)</f>
        <v>109</v>
      </c>
      <c r="G151" t="str">
        <f t="shared" ca="1" si="6"/>
        <v>Away</v>
      </c>
      <c r="H151" t="str">
        <f ca="1">IF(E151+最终结果!$G$8&gt;simulation!F151,"W","L")</f>
        <v>W</v>
      </c>
      <c r="I151" t="str">
        <f ca="1">IF(F151+最终结果!$G$12&gt;simulation!E151,"W","L")</f>
        <v>L</v>
      </c>
      <c r="J151" t="str">
        <f ca="1">IF((E151+F151)&gt;最终结果!$H$8,"Over","Under")</f>
        <v>Under</v>
      </c>
    </row>
    <row r="152" spans="3:10" x14ac:dyDescent="0.25">
      <c r="C152">
        <v>151</v>
      </c>
      <c r="D152" t="str">
        <f t="shared" ca="1" si="5"/>
        <v>1</v>
      </c>
      <c r="E152">
        <f ca="1">ROUND(NORMINV(RAND(),最终结果!$I$8,最终结果!$E$8),0)</f>
        <v>132</v>
      </c>
      <c r="F152">
        <f ca="1">ROUND(NORMINV(RAND(),最终结果!$I$12,最终结果!$E$12),0)</f>
        <v>109</v>
      </c>
      <c r="G152" t="str">
        <f t="shared" ca="1" si="6"/>
        <v>Away</v>
      </c>
      <c r="H152" t="str">
        <f ca="1">IF(E152+最终结果!$G$8&gt;simulation!F152,"W","L")</f>
        <v>W</v>
      </c>
      <c r="I152" t="str">
        <f ca="1">IF(F152+最终结果!$G$12&gt;simulation!E152,"W","L")</f>
        <v>L</v>
      </c>
      <c r="J152" t="str">
        <f ca="1">IF((E152+F152)&gt;最终结果!$H$8,"Over","Under")</f>
        <v>Over</v>
      </c>
    </row>
    <row r="153" spans="3:10" x14ac:dyDescent="0.25">
      <c r="C153">
        <v>152</v>
      </c>
      <c r="D153" t="str">
        <f t="shared" ca="1" si="5"/>
        <v>1</v>
      </c>
      <c r="E153">
        <f ca="1">ROUND(NORMINV(RAND(),最终结果!$I$8,最终结果!$E$8),0)</f>
        <v>123</v>
      </c>
      <c r="F153">
        <f ca="1">ROUND(NORMINV(RAND(),最终结果!$I$12,最终结果!$E$12),0)</f>
        <v>101</v>
      </c>
      <c r="G153" t="str">
        <f t="shared" ca="1" si="6"/>
        <v>Away</v>
      </c>
      <c r="H153" t="str">
        <f ca="1">IF(E153+最终结果!$G$8&gt;simulation!F153,"W","L")</f>
        <v>W</v>
      </c>
      <c r="I153" t="str">
        <f ca="1">IF(F153+最终结果!$G$12&gt;simulation!E153,"W","L")</f>
        <v>L</v>
      </c>
      <c r="J153" t="str">
        <f ca="1">IF((E153+F153)&gt;最终结果!$H$8,"Over","Under")</f>
        <v>Under</v>
      </c>
    </row>
    <row r="154" spans="3:10" x14ac:dyDescent="0.25">
      <c r="C154">
        <v>153</v>
      </c>
      <c r="D154">
        <f t="shared" ca="1" si="5"/>
        <v>0</v>
      </c>
      <c r="E154">
        <f ca="1">ROUND(NORMINV(RAND(),最终结果!$I$8,最终结果!$E$8),0)</f>
        <v>113</v>
      </c>
      <c r="F154">
        <f ca="1">ROUND(NORMINV(RAND(),最终结果!$I$12,最终结果!$E$12),0)</f>
        <v>113</v>
      </c>
      <c r="G154" t="str">
        <f t="shared" ca="1" si="6"/>
        <v>OT</v>
      </c>
      <c r="H154" t="str">
        <f ca="1">IF(E154+最终结果!$G$8&gt;simulation!F154,"W","L")</f>
        <v>W</v>
      </c>
      <c r="I154" t="str">
        <f ca="1">IF(F154+最终结果!$G$12&gt;simulation!E154,"W","L")</f>
        <v>L</v>
      </c>
      <c r="J154" t="str">
        <f ca="1">IF((E154+F154)&gt;最终结果!$H$8,"Over","Under")</f>
        <v>Under</v>
      </c>
    </row>
    <row r="155" spans="3:10" x14ac:dyDescent="0.25">
      <c r="C155">
        <v>154</v>
      </c>
      <c r="D155" t="str">
        <f t="shared" ca="1" si="5"/>
        <v>-1</v>
      </c>
      <c r="E155">
        <f ca="1">ROUND(NORMINV(RAND(),最终结果!$I$8,最终结果!$E$8),0)</f>
        <v>96</v>
      </c>
      <c r="F155">
        <f ca="1">ROUND(NORMINV(RAND(),最终结果!$I$12,最终结果!$E$12),0)</f>
        <v>120</v>
      </c>
      <c r="G155" t="str">
        <f t="shared" ca="1" si="6"/>
        <v>Home</v>
      </c>
      <c r="H155" t="str">
        <f ca="1">IF(E155+最终结果!$G$8&gt;simulation!F155,"W","L")</f>
        <v>L</v>
      </c>
      <c r="I155" t="str">
        <f ca="1">IF(F155+最终结果!$G$12&gt;simulation!E155,"W","L")</f>
        <v>W</v>
      </c>
      <c r="J155" t="str">
        <f ca="1">IF((E155+F155)&gt;最终结果!$H$8,"Over","Under")</f>
        <v>Under</v>
      </c>
    </row>
    <row r="156" spans="3:10" x14ac:dyDescent="0.25">
      <c r="C156">
        <v>155</v>
      </c>
      <c r="D156" t="str">
        <f t="shared" ca="1" si="5"/>
        <v>1</v>
      </c>
      <c r="E156">
        <f ca="1">ROUND(NORMINV(RAND(),最终结果!$I$8,最终结果!$E$8),0)</f>
        <v>113</v>
      </c>
      <c r="F156">
        <f ca="1">ROUND(NORMINV(RAND(),最终结果!$I$12,最终结果!$E$12),0)</f>
        <v>112</v>
      </c>
      <c r="G156" t="str">
        <f t="shared" ca="1" si="6"/>
        <v>Away</v>
      </c>
      <c r="H156" t="str">
        <f ca="1">IF(E156+最终结果!$G$8&gt;simulation!F156,"W","L")</f>
        <v>W</v>
      </c>
      <c r="I156" t="str">
        <f ca="1">IF(F156+最终结果!$G$12&gt;simulation!E156,"W","L")</f>
        <v>L</v>
      </c>
      <c r="J156" t="str">
        <f ca="1">IF((E156+F156)&gt;最终结果!$H$8,"Over","Under")</f>
        <v>Under</v>
      </c>
    </row>
    <row r="157" spans="3:10" x14ac:dyDescent="0.25">
      <c r="C157">
        <v>156</v>
      </c>
      <c r="D157" t="str">
        <f t="shared" ca="1" si="5"/>
        <v>-1</v>
      </c>
      <c r="E157">
        <f ca="1">ROUND(NORMINV(RAND(),最终结果!$I$8,最终结果!$E$8),0)</f>
        <v>99</v>
      </c>
      <c r="F157">
        <f ca="1">ROUND(NORMINV(RAND(),最终结果!$I$12,最终结果!$E$12),0)</f>
        <v>132</v>
      </c>
      <c r="G157" t="str">
        <f t="shared" ca="1" si="6"/>
        <v>Home</v>
      </c>
      <c r="H157" t="str">
        <f ca="1">IF(E157+最终结果!$G$8&gt;simulation!F157,"W","L")</f>
        <v>L</v>
      </c>
      <c r="I157" t="str">
        <f ca="1">IF(F157+最终结果!$G$12&gt;simulation!E157,"W","L")</f>
        <v>W</v>
      </c>
      <c r="J157" t="str">
        <f ca="1">IF((E157+F157)&gt;最终结果!$H$8,"Over","Under")</f>
        <v>Under</v>
      </c>
    </row>
    <row r="158" spans="3:10" x14ac:dyDescent="0.25">
      <c r="C158">
        <v>157</v>
      </c>
      <c r="D158" t="str">
        <f t="shared" ca="1" si="5"/>
        <v>-1</v>
      </c>
      <c r="E158">
        <f ca="1">ROUND(NORMINV(RAND(),最终结果!$I$8,最终结果!$E$8),0)</f>
        <v>68</v>
      </c>
      <c r="F158">
        <f ca="1">ROUND(NORMINV(RAND(),最终结果!$I$12,最终结果!$E$12),0)</f>
        <v>104</v>
      </c>
      <c r="G158" t="str">
        <f t="shared" ca="1" si="6"/>
        <v>Home</v>
      </c>
      <c r="H158" t="str">
        <f ca="1">IF(E158+最终结果!$G$8&gt;simulation!F158,"W","L")</f>
        <v>L</v>
      </c>
      <c r="I158" t="str">
        <f ca="1">IF(F158+最终结果!$G$12&gt;simulation!E158,"W","L")</f>
        <v>W</v>
      </c>
      <c r="J158" t="str">
        <f ca="1">IF((E158+F158)&gt;最终结果!$H$8,"Over","Under")</f>
        <v>Under</v>
      </c>
    </row>
    <row r="159" spans="3:10" x14ac:dyDescent="0.25">
      <c r="C159">
        <v>158</v>
      </c>
      <c r="D159" t="str">
        <f t="shared" ca="1" si="5"/>
        <v>-1</v>
      </c>
      <c r="E159">
        <f ca="1">ROUND(NORMINV(RAND(),最终结果!$I$8,最终结果!$E$8),0)</f>
        <v>120</v>
      </c>
      <c r="F159">
        <f ca="1">ROUND(NORMINV(RAND(),最终结果!$I$12,最终结果!$E$12),0)</f>
        <v>130</v>
      </c>
      <c r="G159" t="str">
        <f t="shared" ca="1" si="6"/>
        <v>Home</v>
      </c>
      <c r="H159" t="str">
        <f ca="1">IF(E159+最终结果!$G$8&gt;simulation!F159,"W","L")</f>
        <v>L</v>
      </c>
      <c r="I159" t="str">
        <f ca="1">IF(F159+最终结果!$G$12&gt;simulation!E159,"W","L")</f>
        <v>W</v>
      </c>
      <c r="J159" t="str">
        <f ca="1">IF((E159+F159)&gt;最终结果!$H$8,"Over","Under")</f>
        <v>Over</v>
      </c>
    </row>
    <row r="160" spans="3:10" x14ac:dyDescent="0.25">
      <c r="C160">
        <v>159</v>
      </c>
      <c r="D160" t="str">
        <f t="shared" ca="1" si="5"/>
        <v>-1</v>
      </c>
      <c r="E160">
        <f ca="1">ROUND(NORMINV(RAND(),最终结果!$I$8,最终结果!$E$8),0)</f>
        <v>115</v>
      </c>
      <c r="F160">
        <f ca="1">ROUND(NORMINV(RAND(),最终结果!$I$12,最终结果!$E$12),0)</f>
        <v>131</v>
      </c>
      <c r="G160" t="str">
        <f t="shared" ca="1" si="6"/>
        <v>Home</v>
      </c>
      <c r="H160" t="str">
        <f ca="1">IF(E160+最终结果!$G$8&gt;simulation!F160,"W","L")</f>
        <v>L</v>
      </c>
      <c r="I160" t="str">
        <f ca="1">IF(F160+最终结果!$G$12&gt;simulation!E160,"W","L")</f>
        <v>W</v>
      </c>
      <c r="J160" t="str">
        <f ca="1">IF((E160+F160)&gt;最终结果!$H$8,"Over","Under")</f>
        <v>Over</v>
      </c>
    </row>
    <row r="161" spans="3:10" x14ac:dyDescent="0.25">
      <c r="C161">
        <v>160</v>
      </c>
      <c r="D161" t="str">
        <f t="shared" ca="1" si="5"/>
        <v>-1</v>
      </c>
      <c r="E161">
        <f ca="1">ROUND(NORMINV(RAND(),最终结果!$I$8,最终结果!$E$8),0)</f>
        <v>87</v>
      </c>
      <c r="F161">
        <f ca="1">ROUND(NORMINV(RAND(),最终结果!$I$12,最终结果!$E$12),0)</f>
        <v>111</v>
      </c>
      <c r="G161" t="str">
        <f t="shared" ca="1" si="6"/>
        <v>Home</v>
      </c>
      <c r="H161" t="str">
        <f ca="1">IF(E161+最终结果!$G$8&gt;simulation!F161,"W","L")</f>
        <v>L</v>
      </c>
      <c r="I161" t="str">
        <f ca="1">IF(F161+最终结果!$G$12&gt;simulation!E161,"W","L")</f>
        <v>W</v>
      </c>
      <c r="J161" t="str">
        <f ca="1">IF((E161+F161)&gt;最终结果!$H$8,"Over","Under")</f>
        <v>Under</v>
      </c>
    </row>
    <row r="162" spans="3:10" x14ac:dyDescent="0.25">
      <c r="C162">
        <v>161</v>
      </c>
      <c r="D162" t="str">
        <f t="shared" ca="1" si="5"/>
        <v>-1</v>
      </c>
      <c r="E162">
        <f ca="1">ROUND(NORMINV(RAND(),最终结果!$I$8,最终结果!$E$8),0)</f>
        <v>113</v>
      </c>
      <c r="F162">
        <f ca="1">ROUND(NORMINV(RAND(),最终结果!$I$12,最终结果!$E$12),0)</f>
        <v>117</v>
      </c>
      <c r="G162" t="str">
        <f t="shared" ca="1" si="6"/>
        <v>Home</v>
      </c>
      <c r="H162" t="str">
        <f ca="1">IF(E162+最终结果!$G$8&gt;simulation!F162,"W","L")</f>
        <v>L</v>
      </c>
      <c r="I162" t="str">
        <f ca="1">IF(F162+最终结果!$G$12&gt;simulation!E162,"W","L")</f>
        <v>W</v>
      </c>
      <c r="J162" t="str">
        <f ca="1">IF((E162+F162)&gt;最终结果!$H$8,"Over","Under")</f>
        <v>Under</v>
      </c>
    </row>
    <row r="163" spans="3:10" x14ac:dyDescent="0.25">
      <c r="C163">
        <v>162</v>
      </c>
      <c r="D163" t="str">
        <f t="shared" ca="1" si="5"/>
        <v>-1</v>
      </c>
      <c r="E163">
        <f ca="1">ROUND(NORMINV(RAND(),最终结果!$I$8,最终结果!$E$8),0)</f>
        <v>109</v>
      </c>
      <c r="F163">
        <f ca="1">ROUND(NORMINV(RAND(),最终结果!$I$12,最终结果!$E$12),0)</f>
        <v>114</v>
      </c>
      <c r="G163" t="str">
        <f t="shared" ca="1" si="6"/>
        <v>Home</v>
      </c>
      <c r="H163" t="str">
        <f ca="1">IF(E163+最终结果!$G$8&gt;simulation!F163,"W","L")</f>
        <v>L</v>
      </c>
      <c r="I163" t="str">
        <f ca="1">IF(F163+最终结果!$G$12&gt;simulation!E163,"W","L")</f>
        <v>W</v>
      </c>
      <c r="J163" t="str">
        <f ca="1">IF((E163+F163)&gt;最终结果!$H$8,"Over","Under")</f>
        <v>Under</v>
      </c>
    </row>
    <row r="164" spans="3:10" x14ac:dyDescent="0.25">
      <c r="C164">
        <v>163</v>
      </c>
      <c r="D164" t="str">
        <f t="shared" ca="1" si="5"/>
        <v>1</v>
      </c>
      <c r="E164">
        <f ca="1">ROUND(NORMINV(RAND(),最终结果!$I$8,最终结果!$E$8),0)</f>
        <v>104</v>
      </c>
      <c r="F164">
        <f ca="1">ROUND(NORMINV(RAND(),最终结果!$I$12,最终结果!$E$12),0)</f>
        <v>81</v>
      </c>
      <c r="G164" t="str">
        <f t="shared" ca="1" si="6"/>
        <v>Away</v>
      </c>
      <c r="H164" t="str">
        <f ca="1">IF(E164+最终结果!$G$8&gt;simulation!F164,"W","L")</f>
        <v>W</v>
      </c>
      <c r="I164" t="str">
        <f ca="1">IF(F164+最终结果!$G$12&gt;simulation!E164,"W","L")</f>
        <v>L</v>
      </c>
      <c r="J164" t="str">
        <f ca="1">IF((E164+F164)&gt;最终结果!$H$8,"Over","Under")</f>
        <v>Under</v>
      </c>
    </row>
    <row r="165" spans="3:10" x14ac:dyDescent="0.25">
      <c r="C165">
        <v>164</v>
      </c>
      <c r="D165" t="str">
        <f t="shared" ca="1" si="5"/>
        <v>-1</v>
      </c>
      <c r="E165">
        <f ca="1">ROUND(NORMINV(RAND(),最终结果!$I$8,最终结果!$E$8),0)</f>
        <v>113</v>
      </c>
      <c r="F165">
        <f ca="1">ROUND(NORMINV(RAND(),最终结果!$I$12,最终结果!$E$12),0)</f>
        <v>139</v>
      </c>
      <c r="G165" t="str">
        <f t="shared" ca="1" si="6"/>
        <v>Home</v>
      </c>
      <c r="H165" t="str">
        <f ca="1">IF(E165+最终结果!$G$8&gt;simulation!F165,"W","L")</f>
        <v>L</v>
      </c>
      <c r="I165" t="str">
        <f ca="1">IF(F165+最终结果!$G$12&gt;simulation!E165,"W","L")</f>
        <v>W</v>
      </c>
      <c r="J165" t="str">
        <f ca="1">IF((E165+F165)&gt;最终结果!$H$8,"Over","Under")</f>
        <v>Over</v>
      </c>
    </row>
    <row r="166" spans="3:10" x14ac:dyDescent="0.25">
      <c r="C166">
        <v>165</v>
      </c>
      <c r="D166" t="str">
        <f t="shared" ca="1" si="5"/>
        <v>1</v>
      </c>
      <c r="E166">
        <f ca="1">ROUND(NORMINV(RAND(),最终结果!$I$8,最终结果!$E$8),0)</f>
        <v>143</v>
      </c>
      <c r="F166">
        <f ca="1">ROUND(NORMINV(RAND(),最终结果!$I$12,最终结果!$E$12),0)</f>
        <v>110</v>
      </c>
      <c r="G166" t="str">
        <f t="shared" ca="1" si="6"/>
        <v>Away</v>
      </c>
      <c r="H166" t="str">
        <f ca="1">IF(E166+最终结果!$G$8&gt;simulation!F166,"W","L")</f>
        <v>W</v>
      </c>
      <c r="I166" t="str">
        <f ca="1">IF(F166+最终结果!$G$12&gt;simulation!E166,"W","L")</f>
        <v>L</v>
      </c>
      <c r="J166" t="str">
        <f ca="1">IF((E166+F166)&gt;最终结果!$H$8,"Over","Under")</f>
        <v>Over</v>
      </c>
    </row>
    <row r="167" spans="3:10" x14ac:dyDescent="0.25">
      <c r="C167">
        <v>166</v>
      </c>
      <c r="D167" t="str">
        <f t="shared" ca="1" si="5"/>
        <v>-1</v>
      </c>
      <c r="E167">
        <f ca="1">ROUND(NORMINV(RAND(),最终结果!$I$8,最终结果!$E$8),0)</f>
        <v>100</v>
      </c>
      <c r="F167">
        <f ca="1">ROUND(NORMINV(RAND(),最终结果!$I$12,最终结果!$E$12),0)</f>
        <v>112</v>
      </c>
      <c r="G167" t="str">
        <f t="shared" ca="1" si="6"/>
        <v>Home</v>
      </c>
      <c r="H167" t="str">
        <f ca="1">IF(E167+最终结果!$G$8&gt;simulation!F167,"W","L")</f>
        <v>L</v>
      </c>
      <c r="I167" t="str">
        <f ca="1">IF(F167+最终结果!$G$12&gt;simulation!E167,"W","L")</f>
        <v>W</v>
      </c>
      <c r="J167" t="str">
        <f ca="1">IF((E167+F167)&gt;最终结果!$H$8,"Over","Under")</f>
        <v>Under</v>
      </c>
    </row>
    <row r="168" spans="3:10" x14ac:dyDescent="0.25">
      <c r="C168">
        <v>167</v>
      </c>
      <c r="D168" t="str">
        <f t="shared" ca="1" si="5"/>
        <v>-1</v>
      </c>
      <c r="E168">
        <f ca="1">ROUND(NORMINV(RAND(),最终结果!$I$8,最终结果!$E$8),0)</f>
        <v>93</v>
      </c>
      <c r="F168">
        <f ca="1">ROUND(NORMINV(RAND(),最终结果!$I$12,最终结果!$E$12),0)</f>
        <v>110</v>
      </c>
      <c r="G168" t="str">
        <f t="shared" ca="1" si="6"/>
        <v>Home</v>
      </c>
      <c r="H168" t="str">
        <f ca="1">IF(E168+最终结果!$G$8&gt;simulation!F168,"W","L")</f>
        <v>L</v>
      </c>
      <c r="I168" t="str">
        <f ca="1">IF(F168+最终结果!$G$12&gt;simulation!E168,"W","L")</f>
        <v>W</v>
      </c>
      <c r="J168" t="str">
        <f ca="1">IF((E168+F168)&gt;最终结果!$H$8,"Over","Under")</f>
        <v>Under</v>
      </c>
    </row>
    <row r="169" spans="3:10" x14ac:dyDescent="0.25">
      <c r="C169">
        <v>168</v>
      </c>
      <c r="D169" t="str">
        <f t="shared" ca="1" si="5"/>
        <v>-1</v>
      </c>
      <c r="E169">
        <f ca="1">ROUND(NORMINV(RAND(),最终结果!$I$8,最终结果!$E$8),0)</f>
        <v>103</v>
      </c>
      <c r="F169">
        <f ca="1">ROUND(NORMINV(RAND(),最终结果!$I$12,最终结果!$E$12),0)</f>
        <v>121</v>
      </c>
      <c r="G169" t="str">
        <f t="shared" ca="1" si="6"/>
        <v>Home</v>
      </c>
      <c r="H169" t="str">
        <f ca="1">IF(E169+最终结果!$G$8&gt;simulation!F169,"W","L")</f>
        <v>L</v>
      </c>
      <c r="I169" t="str">
        <f ca="1">IF(F169+最终结果!$G$12&gt;simulation!E169,"W","L")</f>
        <v>W</v>
      </c>
      <c r="J169" t="str">
        <f ca="1">IF((E169+F169)&gt;最终结果!$H$8,"Over","Under")</f>
        <v>Under</v>
      </c>
    </row>
    <row r="170" spans="3:10" x14ac:dyDescent="0.25">
      <c r="C170">
        <v>169</v>
      </c>
      <c r="D170" t="str">
        <f t="shared" ca="1" si="5"/>
        <v>-1</v>
      </c>
      <c r="E170">
        <f ca="1">ROUND(NORMINV(RAND(),最终结果!$I$8,最终结果!$E$8),0)</f>
        <v>102</v>
      </c>
      <c r="F170">
        <f ca="1">ROUND(NORMINV(RAND(),最终结果!$I$12,最终结果!$E$12),0)</f>
        <v>110</v>
      </c>
      <c r="G170" t="str">
        <f t="shared" ca="1" si="6"/>
        <v>Home</v>
      </c>
      <c r="H170" t="str">
        <f ca="1">IF(E170+最终结果!$G$8&gt;simulation!F170,"W","L")</f>
        <v>L</v>
      </c>
      <c r="I170" t="str">
        <f ca="1">IF(F170+最终结果!$G$12&gt;simulation!E170,"W","L")</f>
        <v>W</v>
      </c>
      <c r="J170" t="str">
        <f ca="1">IF((E170+F170)&gt;最终结果!$H$8,"Over","Under")</f>
        <v>Under</v>
      </c>
    </row>
    <row r="171" spans="3:10" x14ac:dyDescent="0.25">
      <c r="C171">
        <v>170</v>
      </c>
      <c r="D171" t="str">
        <f t="shared" ca="1" si="5"/>
        <v>-1</v>
      </c>
      <c r="E171">
        <f ca="1">ROUND(NORMINV(RAND(),最终结果!$I$8,最终结果!$E$8),0)</f>
        <v>104</v>
      </c>
      <c r="F171">
        <f ca="1">ROUND(NORMINV(RAND(),最终结果!$I$12,最终结果!$E$12),0)</f>
        <v>120</v>
      </c>
      <c r="G171" t="str">
        <f t="shared" ca="1" si="6"/>
        <v>Home</v>
      </c>
      <c r="H171" t="str">
        <f ca="1">IF(E171+最终结果!$G$8&gt;simulation!F171,"W","L")</f>
        <v>L</v>
      </c>
      <c r="I171" t="str">
        <f ca="1">IF(F171+最终结果!$G$12&gt;simulation!E171,"W","L")</f>
        <v>W</v>
      </c>
      <c r="J171" t="str">
        <f ca="1">IF((E171+F171)&gt;最终结果!$H$8,"Over","Under")</f>
        <v>Under</v>
      </c>
    </row>
    <row r="172" spans="3:10" x14ac:dyDescent="0.25">
      <c r="C172">
        <v>171</v>
      </c>
      <c r="D172" t="str">
        <f t="shared" ca="1" si="5"/>
        <v>1</v>
      </c>
      <c r="E172">
        <f ca="1">ROUND(NORMINV(RAND(),最终结果!$I$8,最终结果!$E$8),0)</f>
        <v>118</v>
      </c>
      <c r="F172">
        <f ca="1">ROUND(NORMINV(RAND(),最终结果!$I$12,最终结果!$E$12),0)</f>
        <v>93</v>
      </c>
      <c r="G172" t="str">
        <f t="shared" ca="1" si="6"/>
        <v>Away</v>
      </c>
      <c r="H172" t="str">
        <f ca="1">IF(E172+最终结果!$G$8&gt;simulation!F172,"W","L")</f>
        <v>W</v>
      </c>
      <c r="I172" t="str">
        <f ca="1">IF(F172+最终结果!$G$12&gt;simulation!E172,"W","L")</f>
        <v>L</v>
      </c>
      <c r="J172" t="str">
        <f ca="1">IF((E172+F172)&gt;最终结果!$H$8,"Over","Under")</f>
        <v>Under</v>
      </c>
    </row>
    <row r="173" spans="3:10" x14ac:dyDescent="0.25">
      <c r="C173">
        <v>172</v>
      </c>
      <c r="D173" t="str">
        <f t="shared" ca="1" si="5"/>
        <v>1</v>
      </c>
      <c r="E173">
        <f ca="1">ROUND(NORMINV(RAND(),最终结果!$I$8,最终结果!$E$8),0)</f>
        <v>131</v>
      </c>
      <c r="F173">
        <f ca="1">ROUND(NORMINV(RAND(),最终结果!$I$12,最终结果!$E$12),0)</f>
        <v>127</v>
      </c>
      <c r="G173" t="str">
        <f t="shared" ca="1" si="6"/>
        <v>Away</v>
      </c>
      <c r="H173" t="str">
        <f ca="1">IF(E173+最终结果!$G$8&gt;simulation!F173,"W","L")</f>
        <v>W</v>
      </c>
      <c r="I173" t="str">
        <f ca="1">IF(F173+最终结果!$G$12&gt;simulation!E173,"W","L")</f>
        <v>L</v>
      </c>
      <c r="J173" t="str">
        <f ca="1">IF((E173+F173)&gt;最终结果!$H$8,"Over","Under")</f>
        <v>Over</v>
      </c>
    </row>
    <row r="174" spans="3:10" x14ac:dyDescent="0.25">
      <c r="C174">
        <v>173</v>
      </c>
      <c r="D174" t="str">
        <f t="shared" ca="1" si="5"/>
        <v>1</v>
      </c>
      <c r="E174">
        <f ca="1">ROUND(NORMINV(RAND(),最终结果!$I$8,最终结果!$E$8),0)</f>
        <v>130</v>
      </c>
      <c r="F174">
        <f ca="1">ROUND(NORMINV(RAND(),最终结果!$I$12,最终结果!$E$12),0)</f>
        <v>111</v>
      </c>
      <c r="G174" t="str">
        <f t="shared" ca="1" si="6"/>
        <v>Away</v>
      </c>
      <c r="H174" t="str">
        <f ca="1">IF(E174+最终结果!$G$8&gt;simulation!F174,"W","L")</f>
        <v>W</v>
      </c>
      <c r="I174" t="str">
        <f ca="1">IF(F174+最终结果!$G$12&gt;simulation!E174,"W","L")</f>
        <v>L</v>
      </c>
      <c r="J174" t="str">
        <f ca="1">IF((E174+F174)&gt;最终结果!$H$8,"Over","Under")</f>
        <v>Over</v>
      </c>
    </row>
    <row r="175" spans="3:10" x14ac:dyDescent="0.25">
      <c r="C175">
        <v>174</v>
      </c>
      <c r="D175" t="str">
        <f t="shared" ca="1" si="5"/>
        <v>-1</v>
      </c>
      <c r="E175">
        <f ca="1">ROUND(NORMINV(RAND(),最终结果!$I$8,最终结果!$E$8),0)</f>
        <v>108</v>
      </c>
      <c r="F175">
        <f ca="1">ROUND(NORMINV(RAND(),最终结果!$I$12,最终结果!$E$12),0)</f>
        <v>120</v>
      </c>
      <c r="G175" t="str">
        <f t="shared" ca="1" si="6"/>
        <v>Home</v>
      </c>
      <c r="H175" t="str">
        <f ca="1">IF(E175+最终结果!$G$8&gt;simulation!F175,"W","L")</f>
        <v>L</v>
      </c>
      <c r="I175" t="str">
        <f ca="1">IF(F175+最终结果!$G$12&gt;simulation!E175,"W","L")</f>
        <v>W</v>
      </c>
      <c r="J175" t="str">
        <f ca="1">IF((E175+F175)&gt;最终结果!$H$8,"Over","Under")</f>
        <v>Under</v>
      </c>
    </row>
    <row r="176" spans="3:10" x14ac:dyDescent="0.25">
      <c r="C176">
        <v>175</v>
      </c>
      <c r="D176" t="str">
        <f t="shared" ca="1" si="5"/>
        <v>-1</v>
      </c>
      <c r="E176">
        <f ca="1">ROUND(NORMINV(RAND(),最终结果!$I$8,最终结果!$E$8),0)</f>
        <v>117</v>
      </c>
      <c r="F176">
        <f ca="1">ROUND(NORMINV(RAND(),最终结果!$I$12,最终结果!$E$12),0)</f>
        <v>125</v>
      </c>
      <c r="G176" t="str">
        <f t="shared" ca="1" si="6"/>
        <v>Home</v>
      </c>
      <c r="H176" t="str">
        <f ca="1">IF(E176+最终结果!$G$8&gt;simulation!F176,"W","L")</f>
        <v>L</v>
      </c>
      <c r="I176" t="str">
        <f ca="1">IF(F176+最终结果!$G$12&gt;simulation!E176,"W","L")</f>
        <v>W</v>
      </c>
      <c r="J176" t="str">
        <f ca="1">IF((E176+F176)&gt;最终结果!$H$8,"Over","Under")</f>
        <v>Over</v>
      </c>
    </row>
    <row r="177" spans="3:10" x14ac:dyDescent="0.25">
      <c r="C177">
        <v>176</v>
      </c>
      <c r="D177" t="str">
        <f t="shared" ca="1" si="5"/>
        <v>-1</v>
      </c>
      <c r="E177">
        <f ca="1">ROUND(NORMINV(RAND(),最终结果!$I$8,最终结果!$E$8),0)</f>
        <v>107</v>
      </c>
      <c r="F177">
        <f ca="1">ROUND(NORMINV(RAND(),最终结果!$I$12,最终结果!$E$12),0)</f>
        <v>121</v>
      </c>
      <c r="G177" t="str">
        <f t="shared" ca="1" si="6"/>
        <v>Home</v>
      </c>
      <c r="H177" t="str">
        <f ca="1">IF(E177+最终结果!$G$8&gt;simulation!F177,"W","L")</f>
        <v>L</v>
      </c>
      <c r="I177" t="str">
        <f ca="1">IF(F177+最终结果!$G$12&gt;simulation!E177,"W","L")</f>
        <v>W</v>
      </c>
      <c r="J177" t="str">
        <f ca="1">IF((E177+F177)&gt;最终结果!$H$8,"Over","Under")</f>
        <v>Under</v>
      </c>
    </row>
    <row r="178" spans="3:10" x14ac:dyDescent="0.25">
      <c r="C178">
        <v>177</v>
      </c>
      <c r="D178" t="str">
        <f t="shared" ca="1" si="5"/>
        <v>1</v>
      </c>
      <c r="E178">
        <f ca="1">ROUND(NORMINV(RAND(),最终结果!$I$8,最终结果!$E$8),0)</f>
        <v>120</v>
      </c>
      <c r="F178">
        <f ca="1">ROUND(NORMINV(RAND(),最终结果!$I$12,最终结果!$E$12),0)</f>
        <v>104</v>
      </c>
      <c r="G178" t="str">
        <f t="shared" ca="1" si="6"/>
        <v>Away</v>
      </c>
      <c r="H178" t="str">
        <f ca="1">IF(E178+最终结果!$G$8&gt;simulation!F178,"W","L")</f>
        <v>W</v>
      </c>
      <c r="I178" t="str">
        <f ca="1">IF(F178+最终结果!$G$12&gt;simulation!E178,"W","L")</f>
        <v>L</v>
      </c>
      <c r="J178" t="str">
        <f ca="1">IF((E178+F178)&gt;最终结果!$H$8,"Over","Under")</f>
        <v>Under</v>
      </c>
    </row>
    <row r="179" spans="3:10" x14ac:dyDescent="0.25">
      <c r="C179">
        <v>178</v>
      </c>
      <c r="D179" t="str">
        <f t="shared" ca="1" si="5"/>
        <v>1</v>
      </c>
      <c r="E179">
        <f ca="1">ROUND(NORMINV(RAND(),最终结果!$I$8,最终结果!$E$8),0)</f>
        <v>140</v>
      </c>
      <c r="F179">
        <f ca="1">ROUND(NORMINV(RAND(),最终结果!$I$12,最终结果!$E$12),0)</f>
        <v>119</v>
      </c>
      <c r="G179" t="str">
        <f t="shared" ca="1" si="6"/>
        <v>Away</v>
      </c>
      <c r="H179" t="str">
        <f ca="1">IF(E179+最终结果!$G$8&gt;simulation!F179,"W","L")</f>
        <v>W</v>
      </c>
      <c r="I179" t="str">
        <f ca="1">IF(F179+最终结果!$G$12&gt;simulation!E179,"W","L")</f>
        <v>L</v>
      </c>
      <c r="J179" t="str">
        <f ca="1">IF((E179+F179)&gt;最终结果!$H$8,"Over","Under")</f>
        <v>Over</v>
      </c>
    </row>
    <row r="180" spans="3:10" x14ac:dyDescent="0.25">
      <c r="C180">
        <v>179</v>
      </c>
      <c r="D180" t="str">
        <f t="shared" ca="1" si="5"/>
        <v>1</v>
      </c>
      <c r="E180">
        <f ca="1">ROUND(NORMINV(RAND(),最终结果!$I$8,最终结果!$E$8),0)</f>
        <v>124</v>
      </c>
      <c r="F180">
        <f ca="1">ROUND(NORMINV(RAND(),最终结果!$I$12,最终结果!$E$12),0)</f>
        <v>97</v>
      </c>
      <c r="G180" t="str">
        <f t="shared" ca="1" si="6"/>
        <v>Away</v>
      </c>
      <c r="H180" t="str">
        <f ca="1">IF(E180+最终结果!$G$8&gt;simulation!F180,"W","L")</f>
        <v>W</v>
      </c>
      <c r="I180" t="str">
        <f ca="1">IF(F180+最终结果!$G$12&gt;simulation!E180,"W","L")</f>
        <v>L</v>
      </c>
      <c r="J180" t="str">
        <f ca="1">IF((E180+F180)&gt;最终结果!$H$8,"Over","Under")</f>
        <v>Under</v>
      </c>
    </row>
    <row r="181" spans="3:10" x14ac:dyDescent="0.25">
      <c r="C181">
        <v>180</v>
      </c>
      <c r="D181" t="str">
        <f t="shared" ca="1" si="5"/>
        <v>-1</v>
      </c>
      <c r="E181">
        <f ca="1">ROUND(NORMINV(RAND(),最终结果!$I$8,最终结果!$E$8),0)</f>
        <v>104</v>
      </c>
      <c r="F181">
        <f ca="1">ROUND(NORMINV(RAND(),最终结果!$I$12,最终结果!$E$12),0)</f>
        <v>110</v>
      </c>
      <c r="G181" t="str">
        <f t="shared" ca="1" si="6"/>
        <v>Home</v>
      </c>
      <c r="H181" t="str">
        <f ca="1">IF(E181+最终结果!$G$8&gt;simulation!F181,"W","L")</f>
        <v>L</v>
      </c>
      <c r="I181" t="str">
        <f ca="1">IF(F181+最终结果!$G$12&gt;simulation!E181,"W","L")</f>
        <v>W</v>
      </c>
      <c r="J181" t="str">
        <f ca="1">IF((E181+F181)&gt;最终结果!$H$8,"Over","Under")</f>
        <v>Under</v>
      </c>
    </row>
    <row r="182" spans="3:10" x14ac:dyDescent="0.25">
      <c r="C182">
        <v>181</v>
      </c>
      <c r="D182" t="str">
        <f t="shared" ca="1" si="5"/>
        <v>-1</v>
      </c>
      <c r="E182">
        <f ca="1">ROUND(NORMINV(RAND(),最终结果!$I$8,最终结果!$E$8),0)</f>
        <v>104</v>
      </c>
      <c r="F182">
        <f ca="1">ROUND(NORMINV(RAND(),最终结果!$I$12,最终结果!$E$12),0)</f>
        <v>131</v>
      </c>
      <c r="G182" t="str">
        <f t="shared" ca="1" si="6"/>
        <v>Home</v>
      </c>
      <c r="H182" t="str">
        <f ca="1">IF(E182+最终结果!$G$8&gt;simulation!F182,"W","L")</f>
        <v>L</v>
      </c>
      <c r="I182" t="str">
        <f ca="1">IF(F182+最终结果!$G$12&gt;simulation!E182,"W","L")</f>
        <v>W</v>
      </c>
      <c r="J182" t="str">
        <f ca="1">IF((E182+F182)&gt;最终结果!$H$8,"Over","Under")</f>
        <v>Under</v>
      </c>
    </row>
    <row r="183" spans="3:10" x14ac:dyDescent="0.25">
      <c r="C183">
        <v>182</v>
      </c>
      <c r="D183" t="str">
        <f t="shared" ca="1" si="5"/>
        <v>1</v>
      </c>
      <c r="E183">
        <f ca="1">ROUND(NORMINV(RAND(),最终结果!$I$8,最终结果!$E$8),0)</f>
        <v>138</v>
      </c>
      <c r="F183">
        <f ca="1">ROUND(NORMINV(RAND(),最终结果!$I$12,最终结果!$E$12),0)</f>
        <v>105</v>
      </c>
      <c r="G183" t="str">
        <f t="shared" ca="1" si="6"/>
        <v>Away</v>
      </c>
      <c r="H183" t="str">
        <f ca="1">IF(E183+最终结果!$G$8&gt;simulation!F183,"W","L")</f>
        <v>W</v>
      </c>
      <c r="I183" t="str">
        <f ca="1">IF(F183+最终结果!$G$12&gt;simulation!E183,"W","L")</f>
        <v>L</v>
      </c>
      <c r="J183" t="str">
        <f ca="1">IF((E183+F183)&gt;最终结果!$H$8,"Over","Under")</f>
        <v>Over</v>
      </c>
    </row>
    <row r="184" spans="3:10" x14ac:dyDescent="0.25">
      <c r="C184">
        <v>183</v>
      </c>
      <c r="D184" t="str">
        <f t="shared" ca="1" si="5"/>
        <v>-1</v>
      </c>
      <c r="E184">
        <f ca="1">ROUND(NORMINV(RAND(),最终结果!$I$8,最终结果!$E$8),0)</f>
        <v>85</v>
      </c>
      <c r="F184">
        <f ca="1">ROUND(NORMINV(RAND(),最终结果!$I$12,最终结果!$E$12),0)</f>
        <v>110</v>
      </c>
      <c r="G184" t="str">
        <f t="shared" ca="1" si="6"/>
        <v>Home</v>
      </c>
      <c r="H184" t="str">
        <f ca="1">IF(E184+最终结果!$G$8&gt;simulation!F184,"W","L")</f>
        <v>L</v>
      </c>
      <c r="I184" t="str">
        <f ca="1">IF(F184+最终结果!$G$12&gt;simulation!E184,"W","L")</f>
        <v>W</v>
      </c>
      <c r="J184" t="str">
        <f ca="1">IF((E184+F184)&gt;最终结果!$H$8,"Over","Under")</f>
        <v>Under</v>
      </c>
    </row>
    <row r="185" spans="3:10" x14ac:dyDescent="0.25">
      <c r="C185">
        <v>184</v>
      </c>
      <c r="D185" t="str">
        <f t="shared" ca="1" si="5"/>
        <v>-1</v>
      </c>
      <c r="E185">
        <f ca="1">ROUND(NORMINV(RAND(),最终结果!$I$8,最终结果!$E$8),0)</f>
        <v>105</v>
      </c>
      <c r="F185">
        <f ca="1">ROUND(NORMINV(RAND(),最终结果!$I$12,最终结果!$E$12),0)</f>
        <v>133</v>
      </c>
      <c r="G185" t="str">
        <f t="shared" ca="1" si="6"/>
        <v>Home</v>
      </c>
      <c r="H185" t="str">
        <f ca="1">IF(E185+最终结果!$G$8&gt;simulation!F185,"W","L")</f>
        <v>L</v>
      </c>
      <c r="I185" t="str">
        <f ca="1">IF(F185+最终结果!$G$12&gt;simulation!E185,"W","L")</f>
        <v>W</v>
      </c>
      <c r="J185" t="str">
        <f ca="1">IF((E185+F185)&gt;最终结果!$H$8,"Over","Under")</f>
        <v>Over</v>
      </c>
    </row>
    <row r="186" spans="3:10" x14ac:dyDescent="0.25">
      <c r="C186">
        <v>185</v>
      </c>
      <c r="D186" t="str">
        <f t="shared" ca="1" si="5"/>
        <v>-1</v>
      </c>
      <c r="E186">
        <f ca="1">ROUND(NORMINV(RAND(),最终结果!$I$8,最终结果!$E$8),0)</f>
        <v>120</v>
      </c>
      <c r="F186">
        <f ca="1">ROUND(NORMINV(RAND(),最终结果!$I$12,最终结果!$E$12),0)</f>
        <v>132</v>
      </c>
      <c r="G186" t="str">
        <f t="shared" ca="1" si="6"/>
        <v>Home</v>
      </c>
      <c r="H186" t="str">
        <f ca="1">IF(E186+最终结果!$G$8&gt;simulation!F186,"W","L")</f>
        <v>L</v>
      </c>
      <c r="I186" t="str">
        <f ca="1">IF(F186+最终结果!$G$12&gt;simulation!E186,"W","L")</f>
        <v>W</v>
      </c>
      <c r="J186" t="str">
        <f ca="1">IF((E186+F186)&gt;最终结果!$H$8,"Over","Under")</f>
        <v>Over</v>
      </c>
    </row>
    <row r="187" spans="3:10" x14ac:dyDescent="0.25">
      <c r="C187">
        <v>186</v>
      </c>
      <c r="D187" t="str">
        <f t="shared" ca="1" si="5"/>
        <v>-1</v>
      </c>
      <c r="E187">
        <f ca="1">ROUND(NORMINV(RAND(),最终结果!$I$8,最终结果!$E$8),0)</f>
        <v>116</v>
      </c>
      <c r="F187">
        <f ca="1">ROUND(NORMINV(RAND(),最终结果!$I$12,最终结果!$E$12),0)</f>
        <v>124</v>
      </c>
      <c r="G187" t="str">
        <f t="shared" ca="1" si="6"/>
        <v>Home</v>
      </c>
      <c r="H187" t="str">
        <f ca="1">IF(E187+最终结果!$G$8&gt;simulation!F187,"W","L")</f>
        <v>L</v>
      </c>
      <c r="I187" t="str">
        <f ca="1">IF(F187+最终结果!$G$12&gt;simulation!E187,"W","L")</f>
        <v>W</v>
      </c>
      <c r="J187" t="str">
        <f ca="1">IF((E187+F187)&gt;最终结果!$H$8,"Over","Under")</f>
        <v>Over</v>
      </c>
    </row>
    <row r="188" spans="3:10" x14ac:dyDescent="0.25">
      <c r="C188">
        <v>187</v>
      </c>
      <c r="D188" t="str">
        <f t="shared" ca="1" si="5"/>
        <v>1</v>
      </c>
      <c r="E188">
        <f ca="1">ROUND(NORMINV(RAND(),最终结果!$I$8,最终结果!$E$8),0)</f>
        <v>114</v>
      </c>
      <c r="F188">
        <f ca="1">ROUND(NORMINV(RAND(),最终结果!$I$12,最终结果!$E$12),0)</f>
        <v>113</v>
      </c>
      <c r="G188" t="str">
        <f t="shared" ca="1" si="6"/>
        <v>Away</v>
      </c>
      <c r="H188" t="str">
        <f ca="1">IF(E188+最终结果!$G$8&gt;simulation!F188,"W","L")</f>
        <v>W</v>
      </c>
      <c r="I188" t="str">
        <f ca="1">IF(F188+最终结果!$G$12&gt;simulation!E188,"W","L")</f>
        <v>L</v>
      </c>
      <c r="J188" t="str">
        <f ca="1">IF((E188+F188)&gt;最终结果!$H$8,"Over","Under")</f>
        <v>Under</v>
      </c>
    </row>
    <row r="189" spans="3:10" x14ac:dyDescent="0.25">
      <c r="C189">
        <v>188</v>
      </c>
      <c r="D189" t="str">
        <f t="shared" ca="1" si="5"/>
        <v>-1</v>
      </c>
      <c r="E189">
        <f ca="1">ROUND(NORMINV(RAND(),最终结果!$I$8,最终结果!$E$8),0)</f>
        <v>104</v>
      </c>
      <c r="F189">
        <f ca="1">ROUND(NORMINV(RAND(),最终结果!$I$12,最终结果!$E$12),0)</f>
        <v>138</v>
      </c>
      <c r="G189" t="str">
        <f t="shared" ca="1" si="6"/>
        <v>Home</v>
      </c>
      <c r="H189" t="str">
        <f ca="1">IF(E189+最终结果!$G$8&gt;simulation!F189,"W","L")</f>
        <v>L</v>
      </c>
      <c r="I189" t="str">
        <f ca="1">IF(F189+最终结果!$G$12&gt;simulation!E189,"W","L")</f>
        <v>W</v>
      </c>
      <c r="J189" t="str">
        <f ca="1">IF((E189+F189)&gt;最终结果!$H$8,"Over","Under")</f>
        <v>Over</v>
      </c>
    </row>
    <row r="190" spans="3:10" x14ac:dyDescent="0.25">
      <c r="C190">
        <v>189</v>
      </c>
      <c r="D190" t="str">
        <f t="shared" ca="1" si="5"/>
        <v>1</v>
      </c>
      <c r="E190">
        <f ca="1">ROUND(NORMINV(RAND(),最终结果!$I$8,最终结果!$E$8),0)</f>
        <v>126</v>
      </c>
      <c r="F190">
        <f ca="1">ROUND(NORMINV(RAND(),最终结果!$I$12,最终结果!$E$12),0)</f>
        <v>125</v>
      </c>
      <c r="G190" t="str">
        <f t="shared" ca="1" si="6"/>
        <v>Away</v>
      </c>
      <c r="H190" t="str">
        <f ca="1">IF(E190+最终结果!$G$8&gt;simulation!F190,"W","L")</f>
        <v>W</v>
      </c>
      <c r="I190" t="str">
        <f ca="1">IF(F190+最终结果!$G$12&gt;simulation!E190,"W","L")</f>
        <v>L</v>
      </c>
      <c r="J190" t="str">
        <f ca="1">IF((E190+F190)&gt;最终结果!$H$8,"Over","Under")</f>
        <v>Over</v>
      </c>
    </row>
    <row r="191" spans="3:10" x14ac:dyDescent="0.25">
      <c r="C191">
        <v>190</v>
      </c>
      <c r="D191" t="str">
        <f t="shared" ca="1" si="5"/>
        <v>1</v>
      </c>
      <c r="E191">
        <f ca="1">ROUND(NORMINV(RAND(),最终结果!$I$8,最终结果!$E$8),0)</f>
        <v>133</v>
      </c>
      <c r="F191">
        <f ca="1">ROUND(NORMINV(RAND(),最终结果!$I$12,最终结果!$E$12),0)</f>
        <v>112</v>
      </c>
      <c r="G191" t="str">
        <f t="shared" ca="1" si="6"/>
        <v>Away</v>
      </c>
      <c r="H191" t="str">
        <f ca="1">IF(E191+最终结果!$G$8&gt;simulation!F191,"W","L")</f>
        <v>W</v>
      </c>
      <c r="I191" t="str">
        <f ca="1">IF(F191+最终结果!$G$12&gt;simulation!E191,"W","L")</f>
        <v>L</v>
      </c>
      <c r="J191" t="str">
        <f ca="1">IF((E191+F191)&gt;最终结果!$H$8,"Over","Under")</f>
        <v>Over</v>
      </c>
    </row>
    <row r="192" spans="3:10" x14ac:dyDescent="0.25">
      <c r="C192">
        <v>191</v>
      </c>
      <c r="D192" t="str">
        <f t="shared" ca="1" si="5"/>
        <v>-1</v>
      </c>
      <c r="E192">
        <f ca="1">ROUND(NORMINV(RAND(),最终结果!$I$8,最终结果!$E$8),0)</f>
        <v>122</v>
      </c>
      <c r="F192">
        <f ca="1">ROUND(NORMINV(RAND(),最终结果!$I$12,最终结果!$E$12),0)</f>
        <v>135</v>
      </c>
      <c r="G192" t="str">
        <f t="shared" ca="1" si="6"/>
        <v>Home</v>
      </c>
      <c r="H192" t="str">
        <f ca="1">IF(E192+最终结果!$G$8&gt;simulation!F192,"W","L")</f>
        <v>L</v>
      </c>
      <c r="I192" t="str">
        <f ca="1">IF(F192+最终结果!$G$12&gt;simulation!E192,"W","L")</f>
        <v>W</v>
      </c>
      <c r="J192" t="str">
        <f ca="1">IF((E192+F192)&gt;最终结果!$H$8,"Over","Under")</f>
        <v>Over</v>
      </c>
    </row>
    <row r="193" spans="3:10" x14ac:dyDescent="0.25">
      <c r="C193">
        <v>192</v>
      </c>
      <c r="D193" t="str">
        <f t="shared" ca="1" si="5"/>
        <v>-1</v>
      </c>
      <c r="E193">
        <f ca="1">ROUND(NORMINV(RAND(),最终结果!$I$8,最终结果!$E$8),0)</f>
        <v>120</v>
      </c>
      <c r="F193">
        <f ca="1">ROUND(NORMINV(RAND(),最终结果!$I$12,最终结果!$E$12),0)</f>
        <v>136</v>
      </c>
      <c r="G193" t="str">
        <f t="shared" ca="1" si="6"/>
        <v>Home</v>
      </c>
      <c r="H193" t="str">
        <f ca="1">IF(E193+最终结果!$G$8&gt;simulation!F193,"W","L")</f>
        <v>L</v>
      </c>
      <c r="I193" t="str">
        <f ca="1">IF(F193+最终结果!$G$12&gt;simulation!E193,"W","L")</f>
        <v>W</v>
      </c>
      <c r="J193" t="str">
        <f ca="1">IF((E193+F193)&gt;最终结果!$H$8,"Over","Under")</f>
        <v>Over</v>
      </c>
    </row>
    <row r="194" spans="3:10" x14ac:dyDescent="0.25">
      <c r="C194">
        <v>193</v>
      </c>
      <c r="D194" t="str">
        <f t="shared" ca="1" si="5"/>
        <v>-1</v>
      </c>
      <c r="E194">
        <f ca="1">ROUND(NORMINV(RAND(),最终结果!$I$8,最终结果!$E$8),0)</f>
        <v>90</v>
      </c>
      <c r="F194">
        <f ca="1">ROUND(NORMINV(RAND(),最终结果!$I$12,最终结果!$E$12),0)</f>
        <v>108</v>
      </c>
      <c r="G194" t="str">
        <f t="shared" ca="1" si="6"/>
        <v>Home</v>
      </c>
      <c r="H194" t="str">
        <f ca="1">IF(E194+最终结果!$G$8&gt;simulation!F194,"W","L")</f>
        <v>L</v>
      </c>
      <c r="I194" t="str">
        <f ca="1">IF(F194+最终结果!$G$12&gt;simulation!E194,"W","L")</f>
        <v>W</v>
      </c>
      <c r="J194" t="str">
        <f ca="1">IF((E194+F194)&gt;最终结果!$H$8,"Over","Under")</f>
        <v>Under</v>
      </c>
    </row>
    <row r="195" spans="3:10" x14ac:dyDescent="0.25">
      <c r="C195">
        <v>194</v>
      </c>
      <c r="D195" t="str">
        <f t="shared" ref="D195:D258" ca="1" si="7">IF(E195=F195,0,IF(E195&gt;F195,"1","-1"))</f>
        <v>1</v>
      </c>
      <c r="E195">
        <f ca="1">ROUND(NORMINV(RAND(),最终结果!$I$8,最终结果!$E$8),0)</f>
        <v>117</v>
      </c>
      <c r="F195">
        <f ca="1">ROUND(NORMINV(RAND(),最终结果!$I$12,最终结果!$E$12),0)</f>
        <v>112</v>
      </c>
      <c r="G195" t="str">
        <f t="shared" ca="1" si="6"/>
        <v>Away</v>
      </c>
      <c r="H195" t="str">
        <f ca="1">IF(E195+最终结果!$G$8&gt;simulation!F195,"W","L")</f>
        <v>W</v>
      </c>
      <c r="I195" t="str">
        <f ca="1">IF(F195+最终结果!$G$12&gt;simulation!E195,"W","L")</f>
        <v>L</v>
      </c>
      <c r="J195" t="str">
        <f ca="1">IF((E195+F195)&gt;最终结果!$H$8,"Over","Under")</f>
        <v>Under</v>
      </c>
    </row>
    <row r="196" spans="3:10" x14ac:dyDescent="0.25">
      <c r="C196">
        <v>195</v>
      </c>
      <c r="D196" t="str">
        <f t="shared" ca="1" si="7"/>
        <v>-1</v>
      </c>
      <c r="E196">
        <f ca="1">ROUND(NORMINV(RAND(),最终结果!$I$8,最终结果!$E$8),0)</f>
        <v>112</v>
      </c>
      <c r="F196">
        <f ca="1">ROUND(NORMINV(RAND(),最终结果!$I$12,最终结果!$E$12),0)</f>
        <v>117</v>
      </c>
      <c r="G196" t="str">
        <f t="shared" ca="1" si="6"/>
        <v>Home</v>
      </c>
      <c r="H196" t="str">
        <f ca="1">IF(E196+最终结果!$G$8&gt;simulation!F196,"W","L")</f>
        <v>L</v>
      </c>
      <c r="I196" t="str">
        <f ca="1">IF(F196+最终结果!$G$12&gt;simulation!E196,"W","L")</f>
        <v>W</v>
      </c>
      <c r="J196" t="str">
        <f ca="1">IF((E196+F196)&gt;最终结果!$H$8,"Over","Under")</f>
        <v>Under</v>
      </c>
    </row>
    <row r="197" spans="3:10" x14ac:dyDescent="0.25">
      <c r="C197">
        <v>196</v>
      </c>
      <c r="D197" t="str">
        <f t="shared" ca="1" si="7"/>
        <v>-1</v>
      </c>
      <c r="E197">
        <f ca="1">ROUND(NORMINV(RAND(),最终结果!$I$8,最终结果!$E$8),0)</f>
        <v>96</v>
      </c>
      <c r="F197">
        <f ca="1">ROUND(NORMINV(RAND(),最终结果!$I$12,最终结果!$E$12),0)</f>
        <v>131</v>
      </c>
      <c r="G197" t="str">
        <f t="shared" ca="1" si="6"/>
        <v>Home</v>
      </c>
      <c r="H197" t="str">
        <f ca="1">IF(E197+最终结果!$G$8&gt;simulation!F197,"W","L")</f>
        <v>L</v>
      </c>
      <c r="I197" t="str">
        <f ca="1">IF(F197+最终结果!$G$12&gt;simulation!E197,"W","L")</f>
        <v>W</v>
      </c>
      <c r="J197" t="str">
        <f ca="1">IF((E197+F197)&gt;最终结果!$H$8,"Over","Under")</f>
        <v>Under</v>
      </c>
    </row>
    <row r="198" spans="3:10" x14ac:dyDescent="0.25">
      <c r="C198">
        <v>197</v>
      </c>
      <c r="D198" t="str">
        <f t="shared" ca="1" si="7"/>
        <v>-1</v>
      </c>
      <c r="E198">
        <f ca="1">ROUND(NORMINV(RAND(),最终结果!$I$8,最终结果!$E$8),0)</f>
        <v>96</v>
      </c>
      <c r="F198">
        <f ca="1">ROUND(NORMINV(RAND(),最终结果!$I$12,最终结果!$E$12),0)</f>
        <v>105</v>
      </c>
      <c r="G198" t="str">
        <f t="shared" ca="1" si="6"/>
        <v>Home</v>
      </c>
      <c r="H198" t="str">
        <f ca="1">IF(E198+最终结果!$G$8&gt;simulation!F198,"W","L")</f>
        <v>L</v>
      </c>
      <c r="I198" t="str">
        <f ca="1">IF(F198+最终结果!$G$12&gt;simulation!E198,"W","L")</f>
        <v>W</v>
      </c>
      <c r="J198" t="str">
        <f ca="1">IF((E198+F198)&gt;最终结果!$H$8,"Over","Under")</f>
        <v>Under</v>
      </c>
    </row>
    <row r="199" spans="3:10" x14ac:dyDescent="0.25">
      <c r="C199">
        <v>198</v>
      </c>
      <c r="D199" t="str">
        <f t="shared" ca="1" si="7"/>
        <v>-1</v>
      </c>
      <c r="E199">
        <f ca="1">ROUND(NORMINV(RAND(),最终结果!$I$8,最终结果!$E$8),0)</f>
        <v>128</v>
      </c>
      <c r="F199">
        <f ca="1">ROUND(NORMINV(RAND(),最终结果!$I$12,最终结果!$E$12),0)</f>
        <v>152</v>
      </c>
      <c r="G199" t="str">
        <f t="shared" ca="1" si="6"/>
        <v>Home</v>
      </c>
      <c r="H199" t="str">
        <f ca="1">IF(E199+最终结果!$G$8&gt;simulation!F199,"W","L")</f>
        <v>L</v>
      </c>
      <c r="I199" t="str">
        <f ca="1">IF(F199+最终结果!$G$12&gt;simulation!E199,"W","L")</f>
        <v>W</v>
      </c>
      <c r="J199" t="str">
        <f ca="1">IF((E199+F199)&gt;最终结果!$H$8,"Over","Under")</f>
        <v>Over</v>
      </c>
    </row>
    <row r="200" spans="3:10" x14ac:dyDescent="0.25">
      <c r="C200">
        <v>199</v>
      </c>
      <c r="D200" t="str">
        <f t="shared" ca="1" si="7"/>
        <v>1</v>
      </c>
      <c r="E200">
        <f ca="1">ROUND(NORMINV(RAND(),最终结果!$I$8,最终结果!$E$8),0)</f>
        <v>119</v>
      </c>
      <c r="F200">
        <f ca="1">ROUND(NORMINV(RAND(),最终结果!$I$12,最终结果!$E$12),0)</f>
        <v>115</v>
      </c>
      <c r="G200" t="str">
        <f t="shared" ca="1" si="6"/>
        <v>Away</v>
      </c>
      <c r="H200" t="str">
        <f ca="1">IF(E200+最终结果!$G$8&gt;simulation!F200,"W","L")</f>
        <v>W</v>
      </c>
      <c r="I200" t="str">
        <f ca="1">IF(F200+最终结果!$G$12&gt;simulation!E200,"W","L")</f>
        <v>L</v>
      </c>
      <c r="J200" t="str">
        <f ca="1">IF((E200+F200)&gt;最终结果!$H$8,"Over","Under")</f>
        <v>Under</v>
      </c>
    </row>
    <row r="201" spans="3:10" x14ac:dyDescent="0.25">
      <c r="C201">
        <v>200</v>
      </c>
      <c r="D201" t="str">
        <f t="shared" ca="1" si="7"/>
        <v>-1</v>
      </c>
      <c r="E201">
        <f ca="1">ROUND(NORMINV(RAND(),最终结果!$I$8,最终结果!$E$8),0)</f>
        <v>122</v>
      </c>
      <c r="F201">
        <f ca="1">ROUND(NORMINV(RAND(),最终结果!$I$12,最终结果!$E$12),0)</f>
        <v>137</v>
      </c>
      <c r="G201" t="str">
        <f t="shared" ca="1" si="6"/>
        <v>Home</v>
      </c>
      <c r="H201" t="str">
        <f ca="1">IF(E201+最终结果!$G$8&gt;simulation!F201,"W","L")</f>
        <v>L</v>
      </c>
      <c r="I201" t="str">
        <f ca="1">IF(F201+最终结果!$G$12&gt;simulation!E201,"W","L")</f>
        <v>W</v>
      </c>
      <c r="J201" t="str">
        <f ca="1">IF((E201+F201)&gt;最终结果!$H$8,"Over","Under")</f>
        <v>Over</v>
      </c>
    </row>
    <row r="202" spans="3:10" x14ac:dyDescent="0.25">
      <c r="C202">
        <v>201</v>
      </c>
      <c r="D202" t="str">
        <f t="shared" ca="1" si="7"/>
        <v>-1</v>
      </c>
      <c r="E202">
        <f ca="1">ROUND(NORMINV(RAND(),最终结果!$I$8,最终结果!$E$8),0)</f>
        <v>117</v>
      </c>
      <c r="F202">
        <f ca="1">ROUND(NORMINV(RAND(),最终结果!$I$12,最终结果!$E$12),0)</f>
        <v>133</v>
      </c>
      <c r="G202" t="str">
        <f t="shared" ca="1" si="6"/>
        <v>Home</v>
      </c>
      <c r="H202" t="str">
        <f ca="1">IF(E202+最终结果!$G$8&gt;simulation!F202,"W","L")</f>
        <v>L</v>
      </c>
      <c r="I202" t="str">
        <f ca="1">IF(F202+最终结果!$G$12&gt;simulation!E202,"W","L")</f>
        <v>W</v>
      </c>
      <c r="J202" t="str">
        <f ca="1">IF((E202+F202)&gt;最终结果!$H$8,"Over","Under")</f>
        <v>Over</v>
      </c>
    </row>
    <row r="203" spans="3:10" x14ac:dyDescent="0.25">
      <c r="C203">
        <v>202</v>
      </c>
      <c r="D203">
        <f t="shared" ca="1" si="7"/>
        <v>0</v>
      </c>
      <c r="E203">
        <f ca="1">ROUND(NORMINV(RAND(),最终结果!$I$8,最终结果!$E$8),0)</f>
        <v>123</v>
      </c>
      <c r="F203">
        <f ca="1">ROUND(NORMINV(RAND(),最终结果!$I$12,最终结果!$E$12),0)</f>
        <v>123</v>
      </c>
      <c r="G203" t="str">
        <f t="shared" ca="1" si="6"/>
        <v>OT</v>
      </c>
      <c r="H203" t="str">
        <f ca="1">IF(E203+最终结果!$G$8&gt;simulation!F203,"W","L")</f>
        <v>W</v>
      </c>
      <c r="I203" t="str">
        <f ca="1">IF(F203+最终结果!$G$12&gt;simulation!E203,"W","L")</f>
        <v>L</v>
      </c>
      <c r="J203" t="str">
        <f ca="1">IF((E203+F203)&gt;最终结果!$H$8,"Over","Under")</f>
        <v>Over</v>
      </c>
    </row>
    <row r="204" spans="3:10" x14ac:dyDescent="0.25">
      <c r="C204">
        <v>203</v>
      </c>
      <c r="D204" t="str">
        <f t="shared" ca="1" si="7"/>
        <v>-1</v>
      </c>
      <c r="E204">
        <f ca="1">ROUND(NORMINV(RAND(),最终结果!$I$8,最终结果!$E$8),0)</f>
        <v>115</v>
      </c>
      <c r="F204">
        <f ca="1">ROUND(NORMINV(RAND(),最终结果!$I$12,最终结果!$E$12),0)</f>
        <v>119</v>
      </c>
      <c r="G204" t="str">
        <f t="shared" ca="1" si="6"/>
        <v>Home</v>
      </c>
      <c r="H204" t="str">
        <f ca="1">IF(E204+最终结果!$G$8&gt;simulation!F204,"W","L")</f>
        <v>L</v>
      </c>
      <c r="I204" t="str">
        <f ca="1">IF(F204+最终结果!$G$12&gt;simulation!E204,"W","L")</f>
        <v>W</v>
      </c>
      <c r="J204" t="str">
        <f ca="1">IF((E204+F204)&gt;最终结果!$H$8,"Over","Under")</f>
        <v>Under</v>
      </c>
    </row>
    <row r="205" spans="3:10" x14ac:dyDescent="0.25">
      <c r="C205">
        <v>204</v>
      </c>
      <c r="D205" t="str">
        <f t="shared" ca="1" si="7"/>
        <v>-1</v>
      </c>
      <c r="E205">
        <f ca="1">ROUND(NORMINV(RAND(),最终结果!$I$8,最终结果!$E$8),0)</f>
        <v>109</v>
      </c>
      <c r="F205">
        <f ca="1">ROUND(NORMINV(RAND(),最终结果!$I$12,最终结果!$E$12),0)</f>
        <v>131</v>
      </c>
      <c r="G205" t="str">
        <f t="shared" ca="1" si="6"/>
        <v>Home</v>
      </c>
      <c r="H205" t="str">
        <f ca="1">IF(E205+最终结果!$G$8&gt;simulation!F205,"W","L")</f>
        <v>L</v>
      </c>
      <c r="I205" t="str">
        <f ca="1">IF(F205+最终结果!$G$12&gt;simulation!E205,"W","L")</f>
        <v>W</v>
      </c>
      <c r="J205" t="str">
        <f ca="1">IF((E205+F205)&gt;最终结果!$H$8,"Over","Under")</f>
        <v>Over</v>
      </c>
    </row>
    <row r="206" spans="3:10" x14ac:dyDescent="0.25">
      <c r="C206">
        <v>205</v>
      </c>
      <c r="D206">
        <f t="shared" ca="1" si="7"/>
        <v>0</v>
      </c>
      <c r="E206">
        <f ca="1">ROUND(NORMINV(RAND(),最终结果!$I$8,最终结果!$E$8),0)</f>
        <v>125</v>
      </c>
      <c r="F206">
        <f ca="1">ROUND(NORMINV(RAND(),最终结果!$I$12,最终结果!$E$12),0)</f>
        <v>125</v>
      </c>
      <c r="G206" t="str">
        <f t="shared" ref="G206:G269" ca="1" si="8">IF(E206=F206,"OT",IF(E206&gt;F206,"Away","Home"))</f>
        <v>OT</v>
      </c>
      <c r="H206" t="str">
        <f ca="1">IF(E206+最终结果!$G$8&gt;simulation!F206,"W","L")</f>
        <v>W</v>
      </c>
      <c r="I206" t="str">
        <f ca="1">IF(F206+最终结果!$G$12&gt;simulation!E206,"W","L")</f>
        <v>L</v>
      </c>
      <c r="J206" t="str">
        <f ca="1">IF((E206+F206)&gt;最终结果!$H$8,"Over","Under")</f>
        <v>Over</v>
      </c>
    </row>
    <row r="207" spans="3:10" x14ac:dyDescent="0.25">
      <c r="C207">
        <v>206</v>
      </c>
      <c r="D207" t="str">
        <f t="shared" ca="1" si="7"/>
        <v>1</v>
      </c>
      <c r="E207">
        <f ca="1">ROUND(NORMINV(RAND(),最终结果!$I$8,最终结果!$E$8),0)</f>
        <v>114</v>
      </c>
      <c r="F207">
        <f ca="1">ROUND(NORMINV(RAND(),最终结果!$I$12,最终结果!$E$12),0)</f>
        <v>98</v>
      </c>
      <c r="G207" t="str">
        <f t="shared" ca="1" si="8"/>
        <v>Away</v>
      </c>
      <c r="H207" t="str">
        <f ca="1">IF(E207+最终结果!$G$8&gt;simulation!F207,"W","L")</f>
        <v>W</v>
      </c>
      <c r="I207" t="str">
        <f ca="1">IF(F207+最终结果!$G$12&gt;simulation!E207,"W","L")</f>
        <v>L</v>
      </c>
      <c r="J207" t="str">
        <f ca="1">IF((E207+F207)&gt;最终结果!$H$8,"Over","Under")</f>
        <v>Under</v>
      </c>
    </row>
    <row r="208" spans="3:10" x14ac:dyDescent="0.25">
      <c r="C208">
        <v>207</v>
      </c>
      <c r="D208" t="str">
        <f t="shared" ca="1" si="7"/>
        <v>-1</v>
      </c>
      <c r="E208">
        <f ca="1">ROUND(NORMINV(RAND(),最终结果!$I$8,最终结果!$E$8),0)</f>
        <v>111</v>
      </c>
      <c r="F208">
        <f ca="1">ROUND(NORMINV(RAND(),最终结果!$I$12,最终结果!$E$12),0)</f>
        <v>124</v>
      </c>
      <c r="G208" t="str">
        <f t="shared" ca="1" si="8"/>
        <v>Home</v>
      </c>
      <c r="H208" t="str">
        <f ca="1">IF(E208+最终结果!$G$8&gt;simulation!F208,"W","L")</f>
        <v>L</v>
      </c>
      <c r="I208" t="str">
        <f ca="1">IF(F208+最终结果!$G$12&gt;simulation!E208,"W","L")</f>
        <v>W</v>
      </c>
      <c r="J208" t="str">
        <f ca="1">IF((E208+F208)&gt;最终结果!$H$8,"Over","Under")</f>
        <v>Under</v>
      </c>
    </row>
    <row r="209" spans="3:10" x14ac:dyDescent="0.25">
      <c r="C209">
        <v>208</v>
      </c>
      <c r="D209" t="str">
        <f t="shared" ca="1" si="7"/>
        <v>-1</v>
      </c>
      <c r="E209">
        <f ca="1">ROUND(NORMINV(RAND(),最终结果!$I$8,最终结果!$E$8),0)</f>
        <v>95</v>
      </c>
      <c r="F209">
        <f ca="1">ROUND(NORMINV(RAND(),最终结果!$I$12,最终结果!$E$12),0)</f>
        <v>105</v>
      </c>
      <c r="G209" t="str">
        <f t="shared" ca="1" si="8"/>
        <v>Home</v>
      </c>
      <c r="H209" t="str">
        <f ca="1">IF(E209+最终结果!$G$8&gt;simulation!F209,"W","L")</f>
        <v>L</v>
      </c>
      <c r="I209" t="str">
        <f ca="1">IF(F209+最终结果!$G$12&gt;simulation!E209,"W","L")</f>
        <v>W</v>
      </c>
      <c r="J209" t="str">
        <f ca="1">IF((E209+F209)&gt;最终结果!$H$8,"Over","Under")</f>
        <v>Under</v>
      </c>
    </row>
    <row r="210" spans="3:10" x14ac:dyDescent="0.25">
      <c r="C210">
        <v>209</v>
      </c>
      <c r="D210" t="str">
        <f t="shared" ca="1" si="7"/>
        <v>-1</v>
      </c>
      <c r="E210">
        <f ca="1">ROUND(NORMINV(RAND(),最终结果!$I$8,最终结果!$E$8),0)</f>
        <v>105</v>
      </c>
      <c r="F210">
        <f ca="1">ROUND(NORMINV(RAND(),最终结果!$I$12,最终结果!$E$12),0)</f>
        <v>127</v>
      </c>
      <c r="G210" t="str">
        <f t="shared" ca="1" si="8"/>
        <v>Home</v>
      </c>
      <c r="H210" t="str">
        <f ca="1">IF(E210+最终结果!$G$8&gt;simulation!F210,"W","L")</f>
        <v>L</v>
      </c>
      <c r="I210" t="str">
        <f ca="1">IF(F210+最终结果!$G$12&gt;simulation!E210,"W","L")</f>
        <v>W</v>
      </c>
      <c r="J210" t="str">
        <f ca="1">IF((E210+F210)&gt;最终结果!$H$8,"Over","Under")</f>
        <v>Under</v>
      </c>
    </row>
    <row r="211" spans="3:10" x14ac:dyDescent="0.25">
      <c r="C211">
        <v>210</v>
      </c>
      <c r="D211" t="str">
        <f t="shared" ca="1" si="7"/>
        <v>-1</v>
      </c>
      <c r="E211">
        <f ca="1">ROUND(NORMINV(RAND(),最终结果!$I$8,最终结果!$E$8),0)</f>
        <v>116</v>
      </c>
      <c r="F211">
        <f ca="1">ROUND(NORMINV(RAND(),最终结果!$I$12,最终结果!$E$12),0)</f>
        <v>121</v>
      </c>
      <c r="G211" t="str">
        <f t="shared" ca="1" si="8"/>
        <v>Home</v>
      </c>
      <c r="H211" t="str">
        <f ca="1">IF(E211+最终结果!$G$8&gt;simulation!F211,"W","L")</f>
        <v>L</v>
      </c>
      <c r="I211" t="str">
        <f ca="1">IF(F211+最终结果!$G$12&gt;simulation!E211,"W","L")</f>
        <v>W</v>
      </c>
      <c r="J211" t="str">
        <f ca="1">IF((E211+F211)&gt;最终结果!$H$8,"Over","Under")</f>
        <v>Under</v>
      </c>
    </row>
    <row r="212" spans="3:10" x14ac:dyDescent="0.25">
      <c r="C212">
        <v>211</v>
      </c>
      <c r="D212" t="str">
        <f t="shared" ca="1" si="7"/>
        <v>1</v>
      </c>
      <c r="E212">
        <f ca="1">ROUND(NORMINV(RAND(),最终结果!$I$8,最终结果!$E$8),0)</f>
        <v>108</v>
      </c>
      <c r="F212">
        <f ca="1">ROUND(NORMINV(RAND(),最终结果!$I$12,最终结果!$E$12),0)</f>
        <v>107</v>
      </c>
      <c r="G212" t="str">
        <f t="shared" ca="1" si="8"/>
        <v>Away</v>
      </c>
      <c r="H212" t="str">
        <f ca="1">IF(E212+最终结果!$G$8&gt;simulation!F212,"W","L")</f>
        <v>W</v>
      </c>
      <c r="I212" t="str">
        <f ca="1">IF(F212+最终结果!$G$12&gt;simulation!E212,"W","L")</f>
        <v>L</v>
      </c>
      <c r="J212" t="str">
        <f ca="1">IF((E212+F212)&gt;最终结果!$H$8,"Over","Under")</f>
        <v>Under</v>
      </c>
    </row>
    <row r="213" spans="3:10" x14ac:dyDescent="0.25">
      <c r="C213">
        <v>212</v>
      </c>
      <c r="D213" t="str">
        <f t="shared" ca="1" si="7"/>
        <v>1</v>
      </c>
      <c r="E213">
        <f ca="1">ROUND(NORMINV(RAND(),最终结果!$I$8,最终结果!$E$8),0)</f>
        <v>101</v>
      </c>
      <c r="F213">
        <f ca="1">ROUND(NORMINV(RAND(),最终结果!$I$12,最终结果!$E$12),0)</f>
        <v>93</v>
      </c>
      <c r="G213" t="str">
        <f t="shared" ca="1" si="8"/>
        <v>Away</v>
      </c>
      <c r="H213" t="str">
        <f ca="1">IF(E213+最终结果!$G$8&gt;simulation!F213,"W","L")</f>
        <v>W</v>
      </c>
      <c r="I213" t="str">
        <f ca="1">IF(F213+最终结果!$G$12&gt;simulation!E213,"W","L")</f>
        <v>L</v>
      </c>
      <c r="J213" t="str">
        <f ca="1">IF((E213+F213)&gt;最终结果!$H$8,"Over","Under")</f>
        <v>Under</v>
      </c>
    </row>
    <row r="214" spans="3:10" x14ac:dyDescent="0.25">
      <c r="C214">
        <v>213</v>
      </c>
      <c r="D214" t="str">
        <f t="shared" ca="1" si="7"/>
        <v>-1</v>
      </c>
      <c r="E214">
        <f ca="1">ROUND(NORMINV(RAND(),最终结果!$I$8,最终结果!$E$8),0)</f>
        <v>96</v>
      </c>
      <c r="F214">
        <f ca="1">ROUND(NORMINV(RAND(),最终结果!$I$12,最终结果!$E$12),0)</f>
        <v>147</v>
      </c>
      <c r="G214" t="str">
        <f t="shared" ca="1" si="8"/>
        <v>Home</v>
      </c>
      <c r="H214" t="str">
        <f ca="1">IF(E214+最终结果!$G$8&gt;simulation!F214,"W","L")</f>
        <v>L</v>
      </c>
      <c r="I214" t="str">
        <f ca="1">IF(F214+最终结果!$G$12&gt;simulation!E214,"W","L")</f>
        <v>W</v>
      </c>
      <c r="J214" t="str">
        <f ca="1">IF((E214+F214)&gt;最终结果!$H$8,"Over","Under")</f>
        <v>Over</v>
      </c>
    </row>
    <row r="215" spans="3:10" x14ac:dyDescent="0.25">
      <c r="C215">
        <v>214</v>
      </c>
      <c r="D215" t="str">
        <f t="shared" ca="1" si="7"/>
        <v>-1</v>
      </c>
      <c r="E215">
        <f ca="1">ROUND(NORMINV(RAND(),最终结果!$I$8,最终结果!$E$8),0)</f>
        <v>104</v>
      </c>
      <c r="F215">
        <f ca="1">ROUND(NORMINV(RAND(),最终结果!$I$12,最终结果!$E$12),0)</f>
        <v>128</v>
      </c>
      <c r="G215" t="str">
        <f t="shared" ca="1" si="8"/>
        <v>Home</v>
      </c>
      <c r="H215" t="str">
        <f ca="1">IF(E215+最终结果!$G$8&gt;simulation!F215,"W","L")</f>
        <v>L</v>
      </c>
      <c r="I215" t="str">
        <f ca="1">IF(F215+最终结果!$G$12&gt;simulation!E215,"W","L")</f>
        <v>W</v>
      </c>
      <c r="J215" t="str">
        <f ca="1">IF((E215+F215)&gt;最终结果!$H$8,"Over","Under")</f>
        <v>Under</v>
      </c>
    </row>
    <row r="216" spans="3:10" x14ac:dyDescent="0.25">
      <c r="C216">
        <v>215</v>
      </c>
      <c r="D216" t="str">
        <f t="shared" ca="1" si="7"/>
        <v>-1</v>
      </c>
      <c r="E216">
        <f ca="1">ROUND(NORMINV(RAND(),最终结果!$I$8,最终结果!$E$8),0)</f>
        <v>111</v>
      </c>
      <c r="F216">
        <f ca="1">ROUND(NORMINV(RAND(),最终结果!$I$12,最终结果!$E$12),0)</f>
        <v>119</v>
      </c>
      <c r="G216" t="str">
        <f t="shared" ca="1" si="8"/>
        <v>Home</v>
      </c>
      <c r="H216" t="str">
        <f ca="1">IF(E216+最终结果!$G$8&gt;simulation!F216,"W","L")</f>
        <v>L</v>
      </c>
      <c r="I216" t="str">
        <f ca="1">IF(F216+最终结果!$G$12&gt;simulation!E216,"W","L")</f>
        <v>W</v>
      </c>
      <c r="J216" t="str">
        <f ca="1">IF((E216+F216)&gt;最终结果!$H$8,"Over","Under")</f>
        <v>Under</v>
      </c>
    </row>
    <row r="217" spans="3:10" x14ac:dyDescent="0.25">
      <c r="C217">
        <v>216</v>
      </c>
      <c r="D217" t="str">
        <f t="shared" ca="1" si="7"/>
        <v>-1</v>
      </c>
      <c r="E217">
        <f ca="1">ROUND(NORMINV(RAND(),最终结果!$I$8,最终结果!$E$8),0)</f>
        <v>104</v>
      </c>
      <c r="F217">
        <f ca="1">ROUND(NORMINV(RAND(),最终结果!$I$12,最终结果!$E$12),0)</f>
        <v>120</v>
      </c>
      <c r="G217" t="str">
        <f t="shared" ca="1" si="8"/>
        <v>Home</v>
      </c>
      <c r="H217" t="str">
        <f ca="1">IF(E217+最终结果!$G$8&gt;simulation!F217,"W","L")</f>
        <v>L</v>
      </c>
      <c r="I217" t="str">
        <f ca="1">IF(F217+最终结果!$G$12&gt;simulation!E217,"W","L")</f>
        <v>W</v>
      </c>
      <c r="J217" t="str">
        <f ca="1">IF((E217+F217)&gt;最终结果!$H$8,"Over","Under")</f>
        <v>Under</v>
      </c>
    </row>
    <row r="218" spans="3:10" x14ac:dyDescent="0.25">
      <c r="C218">
        <v>217</v>
      </c>
      <c r="D218" t="str">
        <f t="shared" ca="1" si="7"/>
        <v>1</v>
      </c>
      <c r="E218">
        <f ca="1">ROUND(NORMINV(RAND(),最终结果!$I$8,最终结果!$E$8),0)</f>
        <v>104</v>
      </c>
      <c r="F218">
        <f ca="1">ROUND(NORMINV(RAND(),最终结果!$I$12,最终结果!$E$12),0)</f>
        <v>87</v>
      </c>
      <c r="G218" t="str">
        <f t="shared" ca="1" si="8"/>
        <v>Away</v>
      </c>
      <c r="H218" t="str">
        <f ca="1">IF(E218+最终结果!$G$8&gt;simulation!F218,"W","L")</f>
        <v>W</v>
      </c>
      <c r="I218" t="str">
        <f ca="1">IF(F218+最终结果!$G$12&gt;simulation!E218,"W","L")</f>
        <v>L</v>
      </c>
      <c r="J218" t="str">
        <f ca="1">IF((E218+F218)&gt;最终结果!$H$8,"Over","Under")</f>
        <v>Under</v>
      </c>
    </row>
    <row r="219" spans="3:10" x14ac:dyDescent="0.25">
      <c r="C219">
        <v>218</v>
      </c>
      <c r="D219" t="str">
        <f t="shared" ca="1" si="7"/>
        <v>-1</v>
      </c>
      <c r="E219">
        <f ca="1">ROUND(NORMINV(RAND(),最终结果!$I$8,最终结果!$E$8),0)</f>
        <v>99</v>
      </c>
      <c r="F219">
        <f ca="1">ROUND(NORMINV(RAND(),最终结果!$I$12,最终结果!$E$12),0)</f>
        <v>129</v>
      </c>
      <c r="G219" t="str">
        <f t="shared" ca="1" si="8"/>
        <v>Home</v>
      </c>
      <c r="H219" t="str">
        <f ca="1">IF(E219+最终结果!$G$8&gt;simulation!F219,"W","L")</f>
        <v>L</v>
      </c>
      <c r="I219" t="str">
        <f ca="1">IF(F219+最终结果!$G$12&gt;simulation!E219,"W","L")</f>
        <v>W</v>
      </c>
      <c r="J219" t="str">
        <f ca="1">IF((E219+F219)&gt;最终结果!$H$8,"Over","Under")</f>
        <v>Under</v>
      </c>
    </row>
    <row r="220" spans="3:10" x14ac:dyDescent="0.25">
      <c r="C220">
        <v>219</v>
      </c>
      <c r="D220" t="str">
        <f t="shared" ca="1" si="7"/>
        <v>1</v>
      </c>
      <c r="E220">
        <f ca="1">ROUND(NORMINV(RAND(),最终结果!$I$8,最终结果!$E$8),0)</f>
        <v>109</v>
      </c>
      <c r="F220">
        <f ca="1">ROUND(NORMINV(RAND(),最终结果!$I$12,最终结果!$E$12),0)</f>
        <v>98</v>
      </c>
      <c r="G220" t="str">
        <f t="shared" ca="1" si="8"/>
        <v>Away</v>
      </c>
      <c r="H220" t="str">
        <f ca="1">IF(E220+最终结果!$G$8&gt;simulation!F220,"W","L")</f>
        <v>W</v>
      </c>
      <c r="I220" t="str">
        <f ca="1">IF(F220+最终结果!$G$12&gt;simulation!E220,"W","L")</f>
        <v>L</v>
      </c>
      <c r="J220" t="str">
        <f ca="1">IF((E220+F220)&gt;最终结果!$H$8,"Over","Under")</f>
        <v>Under</v>
      </c>
    </row>
    <row r="221" spans="3:10" x14ac:dyDescent="0.25">
      <c r="C221">
        <v>220</v>
      </c>
      <c r="D221" t="str">
        <f t="shared" ca="1" si="7"/>
        <v>-1</v>
      </c>
      <c r="E221">
        <f ca="1">ROUND(NORMINV(RAND(),最终结果!$I$8,最终结果!$E$8),0)</f>
        <v>106</v>
      </c>
      <c r="F221">
        <f ca="1">ROUND(NORMINV(RAND(),最终结果!$I$12,最终结果!$E$12),0)</f>
        <v>132</v>
      </c>
      <c r="G221" t="str">
        <f t="shared" ca="1" si="8"/>
        <v>Home</v>
      </c>
      <c r="H221" t="str">
        <f ca="1">IF(E221+最终结果!$G$8&gt;simulation!F221,"W","L")</f>
        <v>L</v>
      </c>
      <c r="I221" t="str">
        <f ca="1">IF(F221+最终结果!$G$12&gt;simulation!E221,"W","L")</f>
        <v>W</v>
      </c>
      <c r="J221" t="str">
        <f ca="1">IF((E221+F221)&gt;最终结果!$H$8,"Over","Under")</f>
        <v>Over</v>
      </c>
    </row>
    <row r="222" spans="3:10" x14ac:dyDescent="0.25">
      <c r="C222">
        <v>221</v>
      </c>
      <c r="D222" t="str">
        <f t="shared" ca="1" si="7"/>
        <v>1</v>
      </c>
      <c r="E222">
        <f ca="1">ROUND(NORMINV(RAND(),最终结果!$I$8,最终结果!$E$8),0)</f>
        <v>115</v>
      </c>
      <c r="F222">
        <f ca="1">ROUND(NORMINV(RAND(),最终结果!$I$12,最终结果!$E$12),0)</f>
        <v>114</v>
      </c>
      <c r="G222" t="str">
        <f t="shared" ca="1" si="8"/>
        <v>Away</v>
      </c>
      <c r="H222" t="str">
        <f ca="1">IF(E222+最终结果!$G$8&gt;simulation!F222,"W","L")</f>
        <v>W</v>
      </c>
      <c r="I222" t="str">
        <f ca="1">IF(F222+最终结果!$G$12&gt;simulation!E222,"W","L")</f>
        <v>L</v>
      </c>
      <c r="J222" t="str">
        <f ca="1">IF((E222+F222)&gt;最终结果!$H$8,"Over","Under")</f>
        <v>Under</v>
      </c>
    </row>
    <row r="223" spans="3:10" x14ac:dyDescent="0.25">
      <c r="C223">
        <v>222</v>
      </c>
      <c r="D223" t="str">
        <f t="shared" ca="1" si="7"/>
        <v>-1</v>
      </c>
      <c r="E223">
        <f ca="1">ROUND(NORMINV(RAND(),最终结果!$I$8,最终结果!$E$8),0)</f>
        <v>91</v>
      </c>
      <c r="F223">
        <f ca="1">ROUND(NORMINV(RAND(),最终结果!$I$12,最终结果!$E$12),0)</f>
        <v>113</v>
      </c>
      <c r="G223" t="str">
        <f t="shared" ca="1" si="8"/>
        <v>Home</v>
      </c>
      <c r="H223" t="str">
        <f ca="1">IF(E223+最终结果!$G$8&gt;simulation!F223,"W","L")</f>
        <v>L</v>
      </c>
      <c r="I223" t="str">
        <f ca="1">IF(F223+最终结果!$G$12&gt;simulation!E223,"W","L")</f>
        <v>W</v>
      </c>
      <c r="J223" t="str">
        <f ca="1">IF((E223+F223)&gt;最终结果!$H$8,"Over","Under")</f>
        <v>Under</v>
      </c>
    </row>
    <row r="224" spans="3:10" x14ac:dyDescent="0.25">
      <c r="C224">
        <v>223</v>
      </c>
      <c r="D224" t="str">
        <f t="shared" ca="1" si="7"/>
        <v>-1</v>
      </c>
      <c r="E224">
        <f ca="1">ROUND(NORMINV(RAND(),最终结果!$I$8,最终结果!$E$8),0)</f>
        <v>116</v>
      </c>
      <c r="F224">
        <f ca="1">ROUND(NORMINV(RAND(),最终结果!$I$12,最终结果!$E$12),0)</f>
        <v>118</v>
      </c>
      <c r="G224" t="str">
        <f t="shared" ca="1" si="8"/>
        <v>Home</v>
      </c>
      <c r="H224" t="str">
        <f ca="1">IF(E224+最终结果!$G$8&gt;simulation!F224,"W","L")</f>
        <v>W</v>
      </c>
      <c r="I224" t="str">
        <f ca="1">IF(F224+最终结果!$G$12&gt;simulation!E224,"W","L")</f>
        <v>L</v>
      </c>
      <c r="J224" t="str">
        <f ca="1">IF((E224+F224)&gt;最终结果!$H$8,"Over","Under")</f>
        <v>Under</v>
      </c>
    </row>
    <row r="225" spans="3:10" x14ac:dyDescent="0.25">
      <c r="C225">
        <v>224</v>
      </c>
      <c r="D225" t="str">
        <f t="shared" ca="1" si="7"/>
        <v>1</v>
      </c>
      <c r="E225">
        <f ca="1">ROUND(NORMINV(RAND(),最终结果!$I$8,最终结果!$E$8),0)</f>
        <v>135</v>
      </c>
      <c r="F225">
        <f ca="1">ROUND(NORMINV(RAND(),最终结果!$I$12,最终结果!$E$12),0)</f>
        <v>122</v>
      </c>
      <c r="G225" t="str">
        <f t="shared" ca="1" si="8"/>
        <v>Away</v>
      </c>
      <c r="H225" t="str">
        <f ca="1">IF(E225+最终结果!$G$8&gt;simulation!F225,"W","L")</f>
        <v>W</v>
      </c>
      <c r="I225" t="str">
        <f ca="1">IF(F225+最终结果!$G$12&gt;simulation!E225,"W","L")</f>
        <v>L</v>
      </c>
      <c r="J225" t="str">
        <f ca="1">IF((E225+F225)&gt;最终结果!$H$8,"Over","Under")</f>
        <v>Over</v>
      </c>
    </row>
    <row r="226" spans="3:10" x14ac:dyDescent="0.25">
      <c r="C226">
        <v>225</v>
      </c>
      <c r="D226" t="str">
        <f t="shared" ca="1" si="7"/>
        <v>1</v>
      </c>
      <c r="E226">
        <f ca="1">ROUND(NORMINV(RAND(),最终结果!$I$8,最终结果!$E$8),0)</f>
        <v>127</v>
      </c>
      <c r="F226">
        <f ca="1">ROUND(NORMINV(RAND(),最终结果!$I$12,最终结果!$E$12),0)</f>
        <v>124</v>
      </c>
      <c r="G226" t="str">
        <f t="shared" ca="1" si="8"/>
        <v>Away</v>
      </c>
      <c r="H226" t="str">
        <f ca="1">IF(E226+最终结果!$G$8&gt;simulation!F226,"W","L")</f>
        <v>W</v>
      </c>
      <c r="I226" t="str">
        <f ca="1">IF(F226+最终结果!$G$12&gt;simulation!E226,"W","L")</f>
        <v>L</v>
      </c>
      <c r="J226" t="str">
        <f ca="1">IF((E226+F226)&gt;最终结果!$H$8,"Over","Under")</f>
        <v>Over</v>
      </c>
    </row>
    <row r="227" spans="3:10" x14ac:dyDescent="0.25">
      <c r="C227">
        <v>226</v>
      </c>
      <c r="D227" t="str">
        <f t="shared" ca="1" si="7"/>
        <v>-1</v>
      </c>
      <c r="E227">
        <f ca="1">ROUND(NORMINV(RAND(),最终结果!$I$8,最终结果!$E$8),0)</f>
        <v>111</v>
      </c>
      <c r="F227">
        <f ca="1">ROUND(NORMINV(RAND(),最终结果!$I$12,最终结果!$E$12),0)</f>
        <v>119</v>
      </c>
      <c r="G227" t="str">
        <f t="shared" ca="1" si="8"/>
        <v>Home</v>
      </c>
      <c r="H227" t="str">
        <f ca="1">IF(E227+最终结果!$G$8&gt;simulation!F227,"W","L")</f>
        <v>L</v>
      </c>
      <c r="I227" t="str">
        <f ca="1">IF(F227+最终结果!$G$12&gt;simulation!E227,"W","L")</f>
        <v>W</v>
      </c>
      <c r="J227" t="str">
        <f ca="1">IF((E227+F227)&gt;最终结果!$H$8,"Over","Under")</f>
        <v>Under</v>
      </c>
    </row>
    <row r="228" spans="3:10" x14ac:dyDescent="0.25">
      <c r="C228">
        <v>227</v>
      </c>
      <c r="D228" t="str">
        <f t="shared" ca="1" si="7"/>
        <v>1</v>
      </c>
      <c r="E228">
        <f ca="1">ROUND(NORMINV(RAND(),最终结果!$I$8,最终结果!$E$8),0)</f>
        <v>127</v>
      </c>
      <c r="F228">
        <f ca="1">ROUND(NORMINV(RAND(),最终结果!$I$12,最终结果!$E$12),0)</f>
        <v>117</v>
      </c>
      <c r="G228" t="str">
        <f t="shared" ca="1" si="8"/>
        <v>Away</v>
      </c>
      <c r="H228" t="str">
        <f ca="1">IF(E228+最终结果!$G$8&gt;simulation!F228,"W","L")</f>
        <v>W</v>
      </c>
      <c r="I228" t="str">
        <f ca="1">IF(F228+最终结果!$G$12&gt;simulation!E228,"W","L")</f>
        <v>L</v>
      </c>
      <c r="J228" t="str">
        <f ca="1">IF((E228+F228)&gt;最终结果!$H$8,"Over","Under")</f>
        <v>Over</v>
      </c>
    </row>
    <row r="229" spans="3:10" x14ac:dyDescent="0.25">
      <c r="C229">
        <v>228</v>
      </c>
      <c r="D229" t="str">
        <f t="shared" ca="1" si="7"/>
        <v>1</v>
      </c>
      <c r="E229">
        <f ca="1">ROUND(NORMINV(RAND(),最终结果!$I$8,最终结果!$E$8),0)</f>
        <v>113</v>
      </c>
      <c r="F229">
        <f ca="1">ROUND(NORMINV(RAND(),最终结果!$I$12,最终结果!$E$12),0)</f>
        <v>106</v>
      </c>
      <c r="G229" t="str">
        <f t="shared" ca="1" si="8"/>
        <v>Away</v>
      </c>
      <c r="H229" t="str">
        <f ca="1">IF(E229+最终结果!$G$8&gt;simulation!F229,"W","L")</f>
        <v>W</v>
      </c>
      <c r="I229" t="str">
        <f ca="1">IF(F229+最终结果!$G$12&gt;simulation!E229,"W","L")</f>
        <v>L</v>
      </c>
      <c r="J229" t="str">
        <f ca="1">IF((E229+F229)&gt;最终结果!$H$8,"Over","Under")</f>
        <v>Under</v>
      </c>
    </row>
    <row r="230" spans="3:10" x14ac:dyDescent="0.25">
      <c r="C230">
        <v>229</v>
      </c>
      <c r="D230" t="str">
        <f t="shared" ca="1" si="7"/>
        <v>1</v>
      </c>
      <c r="E230">
        <f ca="1">ROUND(NORMINV(RAND(),最终结果!$I$8,最终结果!$E$8),0)</f>
        <v>107</v>
      </c>
      <c r="F230">
        <f ca="1">ROUND(NORMINV(RAND(),最终结果!$I$12,最终结果!$E$12),0)</f>
        <v>98</v>
      </c>
      <c r="G230" t="str">
        <f t="shared" ca="1" si="8"/>
        <v>Away</v>
      </c>
      <c r="H230" t="str">
        <f ca="1">IF(E230+最终结果!$G$8&gt;simulation!F230,"W","L")</f>
        <v>W</v>
      </c>
      <c r="I230" t="str">
        <f ca="1">IF(F230+最终结果!$G$12&gt;simulation!E230,"W","L")</f>
        <v>L</v>
      </c>
      <c r="J230" t="str">
        <f ca="1">IF((E230+F230)&gt;最终结果!$H$8,"Over","Under")</f>
        <v>Under</v>
      </c>
    </row>
    <row r="231" spans="3:10" x14ac:dyDescent="0.25">
      <c r="C231">
        <v>230</v>
      </c>
      <c r="D231" t="str">
        <f t="shared" ca="1" si="7"/>
        <v>-1</v>
      </c>
      <c r="E231">
        <f ca="1">ROUND(NORMINV(RAND(),最终结果!$I$8,最终结果!$E$8),0)</f>
        <v>104</v>
      </c>
      <c r="F231">
        <f ca="1">ROUND(NORMINV(RAND(),最终结果!$I$12,最终结果!$E$12),0)</f>
        <v>134</v>
      </c>
      <c r="G231" t="str">
        <f t="shared" ca="1" si="8"/>
        <v>Home</v>
      </c>
      <c r="H231" t="str">
        <f ca="1">IF(E231+最终结果!$G$8&gt;simulation!F231,"W","L")</f>
        <v>L</v>
      </c>
      <c r="I231" t="str">
        <f ca="1">IF(F231+最终结果!$G$12&gt;simulation!E231,"W","L")</f>
        <v>W</v>
      </c>
      <c r="J231" t="str">
        <f ca="1">IF((E231+F231)&gt;最终结果!$H$8,"Over","Under")</f>
        <v>Over</v>
      </c>
    </row>
    <row r="232" spans="3:10" x14ac:dyDescent="0.25">
      <c r="C232">
        <v>231</v>
      </c>
      <c r="D232" t="str">
        <f t="shared" ca="1" si="7"/>
        <v>1</v>
      </c>
      <c r="E232">
        <f ca="1">ROUND(NORMINV(RAND(),最终结果!$I$8,最终结果!$E$8),0)</f>
        <v>119</v>
      </c>
      <c r="F232">
        <f ca="1">ROUND(NORMINV(RAND(),最终结果!$I$12,最终结果!$E$12),0)</f>
        <v>93</v>
      </c>
      <c r="G232" t="str">
        <f t="shared" ca="1" si="8"/>
        <v>Away</v>
      </c>
      <c r="H232" t="str">
        <f ca="1">IF(E232+最终结果!$G$8&gt;simulation!F232,"W","L")</f>
        <v>W</v>
      </c>
      <c r="I232" t="str">
        <f ca="1">IF(F232+最终结果!$G$12&gt;simulation!E232,"W","L")</f>
        <v>L</v>
      </c>
      <c r="J232" t="str">
        <f ca="1">IF((E232+F232)&gt;最终结果!$H$8,"Over","Under")</f>
        <v>Under</v>
      </c>
    </row>
    <row r="233" spans="3:10" x14ac:dyDescent="0.25">
      <c r="C233">
        <v>232</v>
      </c>
      <c r="D233" t="str">
        <f t="shared" ca="1" si="7"/>
        <v>1</v>
      </c>
      <c r="E233">
        <f ca="1">ROUND(NORMINV(RAND(),最终结果!$I$8,最终结果!$E$8),0)</f>
        <v>126</v>
      </c>
      <c r="F233">
        <f ca="1">ROUND(NORMINV(RAND(),最终结果!$I$12,最终结果!$E$12),0)</f>
        <v>111</v>
      </c>
      <c r="G233" t="str">
        <f t="shared" ca="1" si="8"/>
        <v>Away</v>
      </c>
      <c r="H233" t="str">
        <f ca="1">IF(E233+最终结果!$G$8&gt;simulation!F233,"W","L")</f>
        <v>W</v>
      </c>
      <c r="I233" t="str">
        <f ca="1">IF(F233+最终结果!$G$12&gt;simulation!E233,"W","L")</f>
        <v>L</v>
      </c>
      <c r="J233" t="str">
        <f ca="1">IF((E233+F233)&gt;最终结果!$H$8,"Over","Under")</f>
        <v>Under</v>
      </c>
    </row>
    <row r="234" spans="3:10" x14ac:dyDescent="0.25">
      <c r="C234">
        <v>233</v>
      </c>
      <c r="D234" t="str">
        <f t="shared" ca="1" si="7"/>
        <v>-1</v>
      </c>
      <c r="E234">
        <f ca="1">ROUND(NORMINV(RAND(),最终结果!$I$8,最终结果!$E$8),0)</f>
        <v>106</v>
      </c>
      <c r="F234">
        <f ca="1">ROUND(NORMINV(RAND(),最终结果!$I$12,最终结果!$E$12),0)</f>
        <v>133</v>
      </c>
      <c r="G234" t="str">
        <f t="shared" ca="1" si="8"/>
        <v>Home</v>
      </c>
      <c r="H234" t="str">
        <f ca="1">IF(E234+最终结果!$G$8&gt;simulation!F234,"W","L")</f>
        <v>L</v>
      </c>
      <c r="I234" t="str">
        <f ca="1">IF(F234+最终结果!$G$12&gt;simulation!E234,"W","L")</f>
        <v>W</v>
      </c>
      <c r="J234" t="str">
        <f ca="1">IF((E234+F234)&gt;最终结果!$H$8,"Over","Under")</f>
        <v>Over</v>
      </c>
    </row>
    <row r="235" spans="3:10" x14ac:dyDescent="0.25">
      <c r="C235">
        <v>234</v>
      </c>
      <c r="D235" t="str">
        <f t="shared" ca="1" si="7"/>
        <v>-1</v>
      </c>
      <c r="E235">
        <f ca="1">ROUND(NORMINV(RAND(),最终结果!$I$8,最终结果!$E$8),0)</f>
        <v>99</v>
      </c>
      <c r="F235">
        <f ca="1">ROUND(NORMINV(RAND(),最终结果!$I$12,最终结果!$E$12),0)</f>
        <v>100</v>
      </c>
      <c r="G235" t="str">
        <f t="shared" ca="1" si="8"/>
        <v>Home</v>
      </c>
      <c r="H235" t="str">
        <f ca="1">IF(E235+最终结果!$G$8&gt;simulation!F235,"W","L")</f>
        <v>W</v>
      </c>
      <c r="I235" t="str">
        <f ca="1">IF(F235+最终结果!$G$12&gt;simulation!E235,"W","L")</f>
        <v>L</v>
      </c>
      <c r="J235" t="str">
        <f ca="1">IF((E235+F235)&gt;最终结果!$H$8,"Over","Under")</f>
        <v>Under</v>
      </c>
    </row>
    <row r="236" spans="3:10" x14ac:dyDescent="0.25">
      <c r="C236">
        <v>235</v>
      </c>
      <c r="D236">
        <f t="shared" ca="1" si="7"/>
        <v>0</v>
      </c>
      <c r="E236">
        <f ca="1">ROUND(NORMINV(RAND(),最终结果!$I$8,最终结果!$E$8),0)</f>
        <v>117</v>
      </c>
      <c r="F236">
        <f ca="1">ROUND(NORMINV(RAND(),最终结果!$I$12,最终结果!$E$12),0)</f>
        <v>117</v>
      </c>
      <c r="G236" t="str">
        <f t="shared" ca="1" si="8"/>
        <v>OT</v>
      </c>
      <c r="H236" t="str">
        <f ca="1">IF(E236+最终结果!$G$8&gt;simulation!F236,"W","L")</f>
        <v>W</v>
      </c>
      <c r="I236" t="str">
        <f ca="1">IF(F236+最终结果!$G$12&gt;simulation!E236,"W","L")</f>
        <v>L</v>
      </c>
      <c r="J236" t="str">
        <f ca="1">IF((E236+F236)&gt;最终结果!$H$8,"Over","Under")</f>
        <v>Under</v>
      </c>
    </row>
    <row r="237" spans="3:10" x14ac:dyDescent="0.25">
      <c r="C237">
        <v>236</v>
      </c>
      <c r="D237" t="str">
        <f t="shared" ca="1" si="7"/>
        <v>1</v>
      </c>
      <c r="E237">
        <f ca="1">ROUND(NORMINV(RAND(),最终结果!$I$8,最终结果!$E$8),0)</f>
        <v>105</v>
      </c>
      <c r="F237">
        <f ca="1">ROUND(NORMINV(RAND(),最终结果!$I$12,最终结果!$E$12),0)</f>
        <v>103</v>
      </c>
      <c r="G237" t="str">
        <f t="shared" ca="1" si="8"/>
        <v>Away</v>
      </c>
      <c r="H237" t="str">
        <f ca="1">IF(E237+最终结果!$G$8&gt;simulation!F237,"W","L")</f>
        <v>W</v>
      </c>
      <c r="I237" t="str">
        <f ca="1">IF(F237+最终结果!$G$12&gt;simulation!E237,"W","L")</f>
        <v>L</v>
      </c>
      <c r="J237" t="str">
        <f ca="1">IF((E237+F237)&gt;最终结果!$H$8,"Over","Under")</f>
        <v>Under</v>
      </c>
    </row>
    <row r="238" spans="3:10" x14ac:dyDescent="0.25">
      <c r="C238">
        <v>237</v>
      </c>
      <c r="D238" t="str">
        <f t="shared" ca="1" si="7"/>
        <v>-1</v>
      </c>
      <c r="E238">
        <f ca="1">ROUND(NORMINV(RAND(),最终结果!$I$8,最终结果!$E$8),0)</f>
        <v>103</v>
      </c>
      <c r="F238">
        <f ca="1">ROUND(NORMINV(RAND(),最终结果!$I$12,最终结果!$E$12),0)</f>
        <v>112</v>
      </c>
      <c r="G238" t="str">
        <f t="shared" ca="1" si="8"/>
        <v>Home</v>
      </c>
      <c r="H238" t="str">
        <f ca="1">IF(E238+最终结果!$G$8&gt;simulation!F238,"W","L")</f>
        <v>L</v>
      </c>
      <c r="I238" t="str">
        <f ca="1">IF(F238+最终结果!$G$12&gt;simulation!E238,"W","L")</f>
        <v>W</v>
      </c>
      <c r="J238" t="str">
        <f ca="1">IF((E238+F238)&gt;最终结果!$H$8,"Over","Under")</f>
        <v>Under</v>
      </c>
    </row>
    <row r="239" spans="3:10" x14ac:dyDescent="0.25">
      <c r="C239">
        <v>238</v>
      </c>
      <c r="D239" t="str">
        <f t="shared" ca="1" si="7"/>
        <v>1</v>
      </c>
      <c r="E239">
        <f ca="1">ROUND(NORMINV(RAND(),最终结果!$I$8,最终结果!$E$8),0)</f>
        <v>119</v>
      </c>
      <c r="F239">
        <f ca="1">ROUND(NORMINV(RAND(),最终结果!$I$12,最终结果!$E$12),0)</f>
        <v>107</v>
      </c>
      <c r="G239" t="str">
        <f t="shared" ca="1" si="8"/>
        <v>Away</v>
      </c>
      <c r="H239" t="str">
        <f ca="1">IF(E239+最终结果!$G$8&gt;simulation!F239,"W","L")</f>
        <v>W</v>
      </c>
      <c r="I239" t="str">
        <f ca="1">IF(F239+最终结果!$G$12&gt;simulation!E239,"W","L")</f>
        <v>L</v>
      </c>
      <c r="J239" t="str">
        <f ca="1">IF((E239+F239)&gt;最终结果!$H$8,"Over","Under")</f>
        <v>Under</v>
      </c>
    </row>
    <row r="240" spans="3:10" x14ac:dyDescent="0.25">
      <c r="C240">
        <v>239</v>
      </c>
      <c r="D240" t="str">
        <f t="shared" ca="1" si="7"/>
        <v>-1</v>
      </c>
      <c r="E240">
        <f ca="1">ROUND(NORMINV(RAND(),最终结果!$I$8,最终结果!$E$8),0)</f>
        <v>108</v>
      </c>
      <c r="F240">
        <f ca="1">ROUND(NORMINV(RAND(),最终结果!$I$12,最终结果!$E$12),0)</f>
        <v>126</v>
      </c>
      <c r="G240" t="str">
        <f t="shared" ca="1" si="8"/>
        <v>Home</v>
      </c>
      <c r="H240" t="str">
        <f ca="1">IF(E240+最终结果!$G$8&gt;simulation!F240,"W","L")</f>
        <v>L</v>
      </c>
      <c r="I240" t="str">
        <f ca="1">IF(F240+最终结果!$G$12&gt;simulation!E240,"W","L")</f>
        <v>W</v>
      </c>
      <c r="J240" t="str">
        <f ca="1">IF((E240+F240)&gt;最终结果!$H$8,"Over","Under")</f>
        <v>Under</v>
      </c>
    </row>
    <row r="241" spans="3:10" x14ac:dyDescent="0.25">
      <c r="C241">
        <v>240</v>
      </c>
      <c r="D241" t="str">
        <f t="shared" ca="1" si="7"/>
        <v>1</v>
      </c>
      <c r="E241">
        <f ca="1">ROUND(NORMINV(RAND(),最终结果!$I$8,最终结果!$E$8),0)</f>
        <v>113</v>
      </c>
      <c r="F241">
        <f ca="1">ROUND(NORMINV(RAND(),最终结果!$I$12,最终结果!$E$12),0)</f>
        <v>103</v>
      </c>
      <c r="G241" t="str">
        <f t="shared" ca="1" si="8"/>
        <v>Away</v>
      </c>
      <c r="H241" t="str">
        <f ca="1">IF(E241+最终结果!$G$8&gt;simulation!F241,"W","L")</f>
        <v>W</v>
      </c>
      <c r="I241" t="str">
        <f ca="1">IF(F241+最终结果!$G$12&gt;simulation!E241,"W","L")</f>
        <v>L</v>
      </c>
      <c r="J241" t="str">
        <f ca="1">IF((E241+F241)&gt;最终结果!$H$8,"Over","Under")</f>
        <v>Under</v>
      </c>
    </row>
    <row r="242" spans="3:10" x14ac:dyDescent="0.25">
      <c r="C242">
        <v>241</v>
      </c>
      <c r="D242" t="str">
        <f t="shared" ca="1" si="7"/>
        <v>-1</v>
      </c>
      <c r="E242">
        <f ca="1">ROUND(NORMINV(RAND(),最终结果!$I$8,最终结果!$E$8),0)</f>
        <v>122</v>
      </c>
      <c r="F242">
        <f ca="1">ROUND(NORMINV(RAND(),最终结果!$I$12,最终结果!$E$12),0)</f>
        <v>130</v>
      </c>
      <c r="G242" t="str">
        <f t="shared" ca="1" si="8"/>
        <v>Home</v>
      </c>
      <c r="H242" t="str">
        <f ca="1">IF(E242+最终结果!$G$8&gt;simulation!F242,"W","L")</f>
        <v>L</v>
      </c>
      <c r="I242" t="str">
        <f ca="1">IF(F242+最终结果!$G$12&gt;simulation!E242,"W","L")</f>
        <v>W</v>
      </c>
      <c r="J242" t="str">
        <f ca="1">IF((E242+F242)&gt;最终结果!$H$8,"Over","Under")</f>
        <v>Over</v>
      </c>
    </row>
    <row r="243" spans="3:10" x14ac:dyDescent="0.25">
      <c r="C243">
        <v>242</v>
      </c>
      <c r="D243" t="str">
        <f t="shared" ca="1" si="7"/>
        <v>-1</v>
      </c>
      <c r="E243">
        <f ca="1">ROUND(NORMINV(RAND(),最终结果!$I$8,最终结果!$E$8),0)</f>
        <v>118</v>
      </c>
      <c r="F243">
        <f ca="1">ROUND(NORMINV(RAND(),最终结果!$I$12,最终结果!$E$12),0)</f>
        <v>144</v>
      </c>
      <c r="G243" t="str">
        <f t="shared" ca="1" si="8"/>
        <v>Home</v>
      </c>
      <c r="H243" t="str">
        <f ca="1">IF(E243+最终结果!$G$8&gt;simulation!F243,"W","L")</f>
        <v>L</v>
      </c>
      <c r="I243" t="str">
        <f ca="1">IF(F243+最终结果!$G$12&gt;simulation!E243,"W","L")</f>
        <v>W</v>
      </c>
      <c r="J243" t="str">
        <f ca="1">IF((E243+F243)&gt;最终结果!$H$8,"Over","Under")</f>
        <v>Over</v>
      </c>
    </row>
    <row r="244" spans="3:10" x14ac:dyDescent="0.25">
      <c r="C244">
        <v>243</v>
      </c>
      <c r="D244" t="str">
        <f t="shared" ca="1" si="7"/>
        <v>-1</v>
      </c>
      <c r="E244">
        <f ca="1">ROUND(NORMINV(RAND(),最终结果!$I$8,最终结果!$E$8),0)</f>
        <v>113</v>
      </c>
      <c r="F244">
        <f ca="1">ROUND(NORMINV(RAND(),最终结果!$I$12,最终结果!$E$12),0)</f>
        <v>124</v>
      </c>
      <c r="G244" t="str">
        <f t="shared" ca="1" si="8"/>
        <v>Home</v>
      </c>
      <c r="H244" t="str">
        <f ca="1">IF(E244+最终结果!$G$8&gt;simulation!F244,"W","L")</f>
        <v>L</v>
      </c>
      <c r="I244" t="str">
        <f ca="1">IF(F244+最终结果!$G$12&gt;simulation!E244,"W","L")</f>
        <v>W</v>
      </c>
      <c r="J244" t="str">
        <f ca="1">IF((E244+F244)&gt;最终结果!$H$8,"Over","Under")</f>
        <v>Under</v>
      </c>
    </row>
    <row r="245" spans="3:10" x14ac:dyDescent="0.25">
      <c r="C245">
        <v>244</v>
      </c>
      <c r="D245" t="str">
        <f t="shared" ca="1" si="7"/>
        <v>-1</v>
      </c>
      <c r="E245">
        <f ca="1">ROUND(NORMINV(RAND(),最终结果!$I$8,最终结果!$E$8),0)</f>
        <v>108</v>
      </c>
      <c r="F245">
        <f ca="1">ROUND(NORMINV(RAND(),最终结果!$I$12,最终结果!$E$12),0)</f>
        <v>128</v>
      </c>
      <c r="G245" t="str">
        <f t="shared" ca="1" si="8"/>
        <v>Home</v>
      </c>
      <c r="H245" t="str">
        <f ca="1">IF(E245+最终结果!$G$8&gt;simulation!F245,"W","L")</f>
        <v>L</v>
      </c>
      <c r="I245" t="str">
        <f ca="1">IF(F245+最终结果!$G$12&gt;simulation!E245,"W","L")</f>
        <v>W</v>
      </c>
      <c r="J245" t="str">
        <f ca="1">IF((E245+F245)&gt;最终结果!$H$8,"Over","Under")</f>
        <v>Under</v>
      </c>
    </row>
    <row r="246" spans="3:10" x14ac:dyDescent="0.25">
      <c r="C246">
        <v>245</v>
      </c>
      <c r="D246" t="str">
        <f t="shared" ca="1" si="7"/>
        <v>-1</v>
      </c>
      <c r="E246">
        <f ca="1">ROUND(NORMINV(RAND(),最终结果!$I$8,最终结果!$E$8),0)</f>
        <v>104</v>
      </c>
      <c r="F246">
        <f ca="1">ROUND(NORMINV(RAND(),最终结果!$I$12,最终结果!$E$12),0)</f>
        <v>129</v>
      </c>
      <c r="G246" t="str">
        <f t="shared" ca="1" si="8"/>
        <v>Home</v>
      </c>
      <c r="H246" t="str">
        <f ca="1">IF(E246+最终结果!$G$8&gt;simulation!F246,"W","L")</f>
        <v>L</v>
      </c>
      <c r="I246" t="str">
        <f ca="1">IF(F246+最终结果!$G$12&gt;simulation!E246,"W","L")</f>
        <v>W</v>
      </c>
      <c r="J246" t="str">
        <f ca="1">IF((E246+F246)&gt;最终结果!$H$8,"Over","Under")</f>
        <v>Under</v>
      </c>
    </row>
    <row r="247" spans="3:10" x14ac:dyDescent="0.25">
      <c r="C247">
        <v>246</v>
      </c>
      <c r="D247" t="str">
        <f t="shared" ca="1" si="7"/>
        <v>1</v>
      </c>
      <c r="E247">
        <f ca="1">ROUND(NORMINV(RAND(),最终结果!$I$8,最终结果!$E$8),0)</f>
        <v>141</v>
      </c>
      <c r="F247">
        <f ca="1">ROUND(NORMINV(RAND(),最终结果!$I$12,最终结果!$E$12),0)</f>
        <v>100</v>
      </c>
      <c r="G247" t="str">
        <f t="shared" ca="1" si="8"/>
        <v>Away</v>
      </c>
      <c r="H247" t="str">
        <f ca="1">IF(E247+最终结果!$G$8&gt;simulation!F247,"W","L")</f>
        <v>W</v>
      </c>
      <c r="I247" t="str">
        <f ca="1">IF(F247+最终结果!$G$12&gt;simulation!E247,"W","L")</f>
        <v>L</v>
      </c>
      <c r="J247" t="str">
        <f ca="1">IF((E247+F247)&gt;最终结果!$H$8,"Over","Under")</f>
        <v>Over</v>
      </c>
    </row>
    <row r="248" spans="3:10" x14ac:dyDescent="0.25">
      <c r="C248">
        <v>247</v>
      </c>
      <c r="D248" t="str">
        <f t="shared" ca="1" si="7"/>
        <v>1</v>
      </c>
      <c r="E248">
        <f ca="1">ROUND(NORMINV(RAND(),最终结果!$I$8,最终结果!$E$8),0)</f>
        <v>132</v>
      </c>
      <c r="F248">
        <f ca="1">ROUND(NORMINV(RAND(),最终结果!$I$12,最终结果!$E$12),0)</f>
        <v>129</v>
      </c>
      <c r="G248" t="str">
        <f t="shared" ca="1" si="8"/>
        <v>Away</v>
      </c>
      <c r="H248" t="str">
        <f ca="1">IF(E248+最终结果!$G$8&gt;simulation!F248,"W","L")</f>
        <v>W</v>
      </c>
      <c r="I248" t="str">
        <f ca="1">IF(F248+最终结果!$G$12&gt;simulation!E248,"W","L")</f>
        <v>L</v>
      </c>
      <c r="J248" t="str">
        <f ca="1">IF((E248+F248)&gt;最终结果!$H$8,"Over","Under")</f>
        <v>Over</v>
      </c>
    </row>
    <row r="249" spans="3:10" x14ac:dyDescent="0.25">
      <c r="C249">
        <v>248</v>
      </c>
      <c r="D249" t="str">
        <f t="shared" ca="1" si="7"/>
        <v>1</v>
      </c>
      <c r="E249">
        <f ca="1">ROUND(NORMINV(RAND(),最终结果!$I$8,最终结果!$E$8),0)</f>
        <v>118</v>
      </c>
      <c r="F249">
        <f ca="1">ROUND(NORMINV(RAND(),最终结果!$I$12,最终结果!$E$12),0)</f>
        <v>107</v>
      </c>
      <c r="G249" t="str">
        <f t="shared" ca="1" si="8"/>
        <v>Away</v>
      </c>
      <c r="H249" t="str">
        <f ca="1">IF(E249+最终结果!$G$8&gt;simulation!F249,"W","L")</f>
        <v>W</v>
      </c>
      <c r="I249" t="str">
        <f ca="1">IF(F249+最终结果!$G$12&gt;simulation!E249,"W","L")</f>
        <v>L</v>
      </c>
      <c r="J249" t="str">
        <f ca="1">IF((E249+F249)&gt;最终结果!$H$8,"Over","Under")</f>
        <v>Under</v>
      </c>
    </row>
    <row r="250" spans="3:10" x14ac:dyDescent="0.25">
      <c r="C250">
        <v>249</v>
      </c>
      <c r="D250" t="str">
        <f t="shared" ca="1" si="7"/>
        <v>-1</v>
      </c>
      <c r="E250">
        <f ca="1">ROUND(NORMINV(RAND(),最终结果!$I$8,最终结果!$E$8),0)</f>
        <v>125</v>
      </c>
      <c r="F250">
        <f ca="1">ROUND(NORMINV(RAND(),最终结果!$I$12,最终结果!$E$12),0)</f>
        <v>144</v>
      </c>
      <c r="G250" t="str">
        <f t="shared" ca="1" si="8"/>
        <v>Home</v>
      </c>
      <c r="H250" t="str">
        <f ca="1">IF(E250+最终结果!$G$8&gt;simulation!F250,"W","L")</f>
        <v>L</v>
      </c>
      <c r="I250" t="str">
        <f ca="1">IF(F250+最终结果!$G$12&gt;simulation!E250,"W","L")</f>
        <v>W</v>
      </c>
      <c r="J250" t="str">
        <f ca="1">IF((E250+F250)&gt;最终结果!$H$8,"Over","Under")</f>
        <v>Over</v>
      </c>
    </row>
    <row r="251" spans="3:10" x14ac:dyDescent="0.25">
      <c r="C251">
        <v>250</v>
      </c>
      <c r="D251" t="str">
        <f t="shared" ca="1" si="7"/>
        <v>-1</v>
      </c>
      <c r="E251">
        <f ca="1">ROUND(NORMINV(RAND(),最终结果!$I$8,最终结果!$E$8),0)</f>
        <v>116</v>
      </c>
      <c r="F251">
        <f ca="1">ROUND(NORMINV(RAND(),最终结果!$I$12,最终结果!$E$12),0)</f>
        <v>121</v>
      </c>
      <c r="G251" t="str">
        <f t="shared" ca="1" si="8"/>
        <v>Home</v>
      </c>
      <c r="H251" t="str">
        <f ca="1">IF(E251+最终结果!$G$8&gt;simulation!F251,"W","L")</f>
        <v>L</v>
      </c>
      <c r="I251" t="str">
        <f ca="1">IF(F251+最终结果!$G$12&gt;simulation!E251,"W","L")</f>
        <v>W</v>
      </c>
      <c r="J251" t="str">
        <f ca="1">IF((E251+F251)&gt;最终结果!$H$8,"Over","Under")</f>
        <v>Under</v>
      </c>
    </row>
    <row r="252" spans="3:10" x14ac:dyDescent="0.25">
      <c r="C252">
        <v>251</v>
      </c>
      <c r="D252" t="str">
        <f t="shared" ca="1" si="7"/>
        <v>1</v>
      </c>
      <c r="E252">
        <f ca="1">ROUND(NORMINV(RAND(),最终结果!$I$8,最终结果!$E$8),0)</f>
        <v>131</v>
      </c>
      <c r="F252">
        <f ca="1">ROUND(NORMINV(RAND(),最终结果!$I$12,最终结果!$E$12),0)</f>
        <v>111</v>
      </c>
      <c r="G252" t="str">
        <f t="shared" ca="1" si="8"/>
        <v>Away</v>
      </c>
      <c r="H252" t="str">
        <f ca="1">IF(E252+最终结果!$G$8&gt;simulation!F252,"W","L")</f>
        <v>W</v>
      </c>
      <c r="I252" t="str">
        <f ca="1">IF(F252+最终结果!$G$12&gt;simulation!E252,"W","L")</f>
        <v>L</v>
      </c>
      <c r="J252" t="str">
        <f ca="1">IF((E252+F252)&gt;最终结果!$H$8,"Over","Under")</f>
        <v>Over</v>
      </c>
    </row>
    <row r="253" spans="3:10" x14ac:dyDescent="0.25">
      <c r="C253">
        <v>252</v>
      </c>
      <c r="D253" t="str">
        <f t="shared" ca="1" si="7"/>
        <v>1</v>
      </c>
      <c r="E253">
        <f ca="1">ROUND(NORMINV(RAND(),最终结果!$I$8,最终结果!$E$8),0)</f>
        <v>123</v>
      </c>
      <c r="F253">
        <f ca="1">ROUND(NORMINV(RAND(),最终结果!$I$12,最终结果!$E$12),0)</f>
        <v>114</v>
      </c>
      <c r="G253" t="str">
        <f t="shared" ca="1" si="8"/>
        <v>Away</v>
      </c>
      <c r="H253" t="str">
        <f ca="1">IF(E253+最终结果!$G$8&gt;simulation!F253,"W","L")</f>
        <v>W</v>
      </c>
      <c r="I253" t="str">
        <f ca="1">IF(F253+最终结果!$G$12&gt;simulation!E253,"W","L")</f>
        <v>L</v>
      </c>
      <c r="J253" t="str">
        <f ca="1">IF((E253+F253)&gt;最终结果!$H$8,"Over","Under")</f>
        <v>Under</v>
      </c>
    </row>
    <row r="254" spans="3:10" x14ac:dyDescent="0.25">
      <c r="C254">
        <v>253</v>
      </c>
      <c r="D254" t="str">
        <f t="shared" ca="1" si="7"/>
        <v>-1</v>
      </c>
      <c r="E254">
        <f ca="1">ROUND(NORMINV(RAND(),最终结果!$I$8,最终结果!$E$8),0)</f>
        <v>103</v>
      </c>
      <c r="F254">
        <f ca="1">ROUND(NORMINV(RAND(),最终结果!$I$12,最终结果!$E$12),0)</f>
        <v>119</v>
      </c>
      <c r="G254" t="str">
        <f t="shared" ca="1" si="8"/>
        <v>Home</v>
      </c>
      <c r="H254" t="str">
        <f ca="1">IF(E254+最终结果!$G$8&gt;simulation!F254,"W","L")</f>
        <v>L</v>
      </c>
      <c r="I254" t="str">
        <f ca="1">IF(F254+最终结果!$G$12&gt;simulation!E254,"W","L")</f>
        <v>W</v>
      </c>
      <c r="J254" t="str">
        <f ca="1">IF((E254+F254)&gt;最终结果!$H$8,"Over","Under")</f>
        <v>Under</v>
      </c>
    </row>
    <row r="255" spans="3:10" x14ac:dyDescent="0.25">
      <c r="C255">
        <v>254</v>
      </c>
      <c r="D255" t="str">
        <f t="shared" ca="1" si="7"/>
        <v>1</v>
      </c>
      <c r="E255">
        <f ca="1">ROUND(NORMINV(RAND(),最终结果!$I$8,最终结果!$E$8),0)</f>
        <v>119</v>
      </c>
      <c r="F255">
        <f ca="1">ROUND(NORMINV(RAND(),最终结果!$I$12,最终结果!$E$12),0)</f>
        <v>105</v>
      </c>
      <c r="G255" t="str">
        <f t="shared" ca="1" si="8"/>
        <v>Away</v>
      </c>
      <c r="H255" t="str">
        <f ca="1">IF(E255+最终结果!$G$8&gt;simulation!F255,"W","L")</f>
        <v>W</v>
      </c>
      <c r="I255" t="str">
        <f ca="1">IF(F255+最终结果!$G$12&gt;simulation!E255,"W","L")</f>
        <v>L</v>
      </c>
      <c r="J255" t="str">
        <f ca="1">IF((E255+F255)&gt;最终结果!$H$8,"Over","Under")</f>
        <v>Under</v>
      </c>
    </row>
    <row r="256" spans="3:10" x14ac:dyDescent="0.25">
      <c r="C256">
        <v>255</v>
      </c>
      <c r="D256" t="str">
        <f t="shared" ca="1" si="7"/>
        <v>-1</v>
      </c>
      <c r="E256">
        <f ca="1">ROUND(NORMINV(RAND(),最终结果!$I$8,最终结果!$E$8),0)</f>
        <v>107</v>
      </c>
      <c r="F256">
        <f ca="1">ROUND(NORMINV(RAND(),最终结果!$I$12,最终结果!$E$12),0)</f>
        <v>132</v>
      </c>
      <c r="G256" t="str">
        <f t="shared" ca="1" si="8"/>
        <v>Home</v>
      </c>
      <c r="H256" t="str">
        <f ca="1">IF(E256+最终结果!$G$8&gt;simulation!F256,"W","L")</f>
        <v>L</v>
      </c>
      <c r="I256" t="str">
        <f ca="1">IF(F256+最终结果!$G$12&gt;simulation!E256,"W","L")</f>
        <v>W</v>
      </c>
      <c r="J256" t="str">
        <f ca="1">IF((E256+F256)&gt;最终结果!$H$8,"Over","Under")</f>
        <v>Over</v>
      </c>
    </row>
    <row r="257" spans="3:10" x14ac:dyDescent="0.25">
      <c r="C257">
        <v>256</v>
      </c>
      <c r="D257" t="str">
        <f t="shared" ca="1" si="7"/>
        <v>-1</v>
      </c>
      <c r="E257">
        <f ca="1">ROUND(NORMINV(RAND(),最终结果!$I$8,最终结果!$E$8),0)</f>
        <v>101</v>
      </c>
      <c r="F257">
        <f ca="1">ROUND(NORMINV(RAND(),最终结果!$I$12,最终结果!$E$12),0)</f>
        <v>133</v>
      </c>
      <c r="G257" t="str">
        <f t="shared" ca="1" si="8"/>
        <v>Home</v>
      </c>
      <c r="H257" t="str">
        <f ca="1">IF(E257+最终结果!$G$8&gt;simulation!F257,"W","L")</f>
        <v>L</v>
      </c>
      <c r="I257" t="str">
        <f ca="1">IF(F257+最终结果!$G$12&gt;simulation!E257,"W","L")</f>
        <v>W</v>
      </c>
      <c r="J257" t="str">
        <f ca="1">IF((E257+F257)&gt;最终结果!$H$8,"Over","Under")</f>
        <v>Under</v>
      </c>
    </row>
    <row r="258" spans="3:10" x14ac:dyDescent="0.25">
      <c r="C258">
        <v>257</v>
      </c>
      <c r="D258" t="str">
        <f t="shared" ca="1" si="7"/>
        <v>1</v>
      </c>
      <c r="E258">
        <f ca="1">ROUND(NORMINV(RAND(),最终结果!$I$8,最终结果!$E$8),0)</f>
        <v>152</v>
      </c>
      <c r="F258">
        <f ca="1">ROUND(NORMINV(RAND(),最终结果!$I$12,最终结果!$E$12),0)</f>
        <v>122</v>
      </c>
      <c r="G258" t="str">
        <f t="shared" ca="1" si="8"/>
        <v>Away</v>
      </c>
      <c r="H258" t="str">
        <f ca="1">IF(E258+最终结果!$G$8&gt;simulation!F258,"W","L")</f>
        <v>W</v>
      </c>
      <c r="I258" t="str">
        <f ca="1">IF(F258+最终结果!$G$12&gt;simulation!E258,"W","L")</f>
        <v>L</v>
      </c>
      <c r="J258" t="str">
        <f ca="1">IF((E258+F258)&gt;最终结果!$H$8,"Over","Under")</f>
        <v>Over</v>
      </c>
    </row>
    <row r="259" spans="3:10" x14ac:dyDescent="0.25">
      <c r="C259">
        <v>258</v>
      </c>
      <c r="D259" t="str">
        <f t="shared" ref="D259:D322" ca="1" si="9">IF(E259=F259,0,IF(E259&gt;F259,"1","-1"))</f>
        <v>1</v>
      </c>
      <c r="E259">
        <f ca="1">ROUND(NORMINV(RAND(),最终结果!$I$8,最终结果!$E$8),0)</f>
        <v>120</v>
      </c>
      <c r="F259">
        <f ca="1">ROUND(NORMINV(RAND(),最终结果!$I$12,最终结果!$E$12),0)</f>
        <v>116</v>
      </c>
      <c r="G259" t="str">
        <f t="shared" ca="1" si="8"/>
        <v>Away</v>
      </c>
      <c r="H259" t="str">
        <f ca="1">IF(E259+最终结果!$G$8&gt;simulation!F259,"W","L")</f>
        <v>W</v>
      </c>
      <c r="I259" t="str">
        <f ca="1">IF(F259+最终结果!$G$12&gt;simulation!E259,"W","L")</f>
        <v>L</v>
      </c>
      <c r="J259" t="str">
        <f ca="1">IF((E259+F259)&gt;最终结果!$H$8,"Over","Under")</f>
        <v>Under</v>
      </c>
    </row>
    <row r="260" spans="3:10" x14ac:dyDescent="0.25">
      <c r="C260">
        <v>259</v>
      </c>
      <c r="D260" t="str">
        <f t="shared" ca="1" si="9"/>
        <v>1</v>
      </c>
      <c r="E260">
        <f ca="1">ROUND(NORMINV(RAND(),最终结果!$I$8,最终结果!$E$8),0)</f>
        <v>126</v>
      </c>
      <c r="F260">
        <f ca="1">ROUND(NORMINV(RAND(),最终结果!$I$12,最终结果!$E$12),0)</f>
        <v>114</v>
      </c>
      <c r="G260" t="str">
        <f t="shared" ca="1" si="8"/>
        <v>Away</v>
      </c>
      <c r="H260" t="str">
        <f ca="1">IF(E260+最终结果!$G$8&gt;simulation!F260,"W","L")</f>
        <v>W</v>
      </c>
      <c r="I260" t="str">
        <f ca="1">IF(F260+最终结果!$G$12&gt;simulation!E260,"W","L")</f>
        <v>L</v>
      </c>
      <c r="J260" t="str">
        <f ca="1">IF((E260+F260)&gt;最终结果!$H$8,"Over","Under")</f>
        <v>Over</v>
      </c>
    </row>
    <row r="261" spans="3:10" x14ac:dyDescent="0.25">
      <c r="C261">
        <v>260</v>
      </c>
      <c r="D261" t="str">
        <f t="shared" ca="1" si="9"/>
        <v>1</v>
      </c>
      <c r="E261">
        <f ca="1">ROUND(NORMINV(RAND(),最终结果!$I$8,最终结果!$E$8),0)</f>
        <v>118</v>
      </c>
      <c r="F261">
        <f ca="1">ROUND(NORMINV(RAND(),最终结果!$I$12,最终结果!$E$12),0)</f>
        <v>116</v>
      </c>
      <c r="G261" t="str">
        <f t="shared" ca="1" si="8"/>
        <v>Away</v>
      </c>
      <c r="H261" t="str">
        <f ca="1">IF(E261+最终结果!$G$8&gt;simulation!F261,"W","L")</f>
        <v>W</v>
      </c>
      <c r="I261" t="str">
        <f ca="1">IF(F261+最终结果!$G$12&gt;simulation!E261,"W","L")</f>
        <v>L</v>
      </c>
      <c r="J261" t="str">
        <f ca="1">IF((E261+F261)&gt;最终结果!$H$8,"Over","Under")</f>
        <v>Under</v>
      </c>
    </row>
    <row r="262" spans="3:10" x14ac:dyDescent="0.25">
      <c r="C262">
        <v>261</v>
      </c>
      <c r="D262" t="str">
        <f t="shared" ca="1" si="9"/>
        <v>-1</v>
      </c>
      <c r="E262">
        <f ca="1">ROUND(NORMINV(RAND(),最终结果!$I$8,最终结果!$E$8),0)</f>
        <v>104</v>
      </c>
      <c r="F262">
        <f ca="1">ROUND(NORMINV(RAND(),最终结果!$I$12,最终结果!$E$12),0)</f>
        <v>122</v>
      </c>
      <c r="G262" t="str">
        <f t="shared" ca="1" si="8"/>
        <v>Home</v>
      </c>
      <c r="H262" t="str">
        <f ca="1">IF(E262+最终结果!$G$8&gt;simulation!F262,"W","L")</f>
        <v>L</v>
      </c>
      <c r="I262" t="str">
        <f ca="1">IF(F262+最终结果!$G$12&gt;simulation!E262,"W","L")</f>
        <v>W</v>
      </c>
      <c r="J262" t="str">
        <f ca="1">IF((E262+F262)&gt;最终结果!$H$8,"Over","Under")</f>
        <v>Under</v>
      </c>
    </row>
    <row r="263" spans="3:10" x14ac:dyDescent="0.25">
      <c r="C263">
        <v>262</v>
      </c>
      <c r="D263" t="str">
        <f t="shared" ca="1" si="9"/>
        <v>1</v>
      </c>
      <c r="E263">
        <f ca="1">ROUND(NORMINV(RAND(),最终结果!$I$8,最终结果!$E$8),0)</f>
        <v>123</v>
      </c>
      <c r="F263">
        <f ca="1">ROUND(NORMINV(RAND(),最终结果!$I$12,最终结果!$E$12),0)</f>
        <v>115</v>
      </c>
      <c r="G263" t="str">
        <f t="shared" ca="1" si="8"/>
        <v>Away</v>
      </c>
      <c r="H263" t="str">
        <f ca="1">IF(E263+最终结果!$G$8&gt;simulation!F263,"W","L")</f>
        <v>W</v>
      </c>
      <c r="I263" t="str">
        <f ca="1">IF(F263+最终结果!$G$12&gt;simulation!E263,"W","L")</f>
        <v>L</v>
      </c>
      <c r="J263" t="str">
        <f ca="1">IF((E263+F263)&gt;最终结果!$H$8,"Over","Under")</f>
        <v>Over</v>
      </c>
    </row>
    <row r="264" spans="3:10" x14ac:dyDescent="0.25">
      <c r="C264">
        <v>263</v>
      </c>
      <c r="D264" t="str">
        <f t="shared" ca="1" si="9"/>
        <v>1</v>
      </c>
      <c r="E264">
        <f ca="1">ROUND(NORMINV(RAND(),最终结果!$I$8,最终结果!$E$8),0)</f>
        <v>126</v>
      </c>
      <c r="F264">
        <f ca="1">ROUND(NORMINV(RAND(),最终结果!$I$12,最终结果!$E$12),0)</f>
        <v>98</v>
      </c>
      <c r="G264" t="str">
        <f t="shared" ca="1" si="8"/>
        <v>Away</v>
      </c>
      <c r="H264" t="str">
        <f ca="1">IF(E264+最终结果!$G$8&gt;simulation!F264,"W","L")</f>
        <v>W</v>
      </c>
      <c r="I264" t="str">
        <f ca="1">IF(F264+最终结果!$G$12&gt;simulation!E264,"W","L")</f>
        <v>L</v>
      </c>
      <c r="J264" t="str">
        <f ca="1">IF((E264+F264)&gt;最终结果!$H$8,"Over","Under")</f>
        <v>Under</v>
      </c>
    </row>
    <row r="265" spans="3:10" x14ac:dyDescent="0.25">
      <c r="C265">
        <v>264</v>
      </c>
      <c r="D265" t="str">
        <f t="shared" ca="1" si="9"/>
        <v>-1</v>
      </c>
      <c r="E265">
        <f ca="1">ROUND(NORMINV(RAND(),最终结果!$I$8,最终结果!$E$8),0)</f>
        <v>109</v>
      </c>
      <c r="F265">
        <f ca="1">ROUND(NORMINV(RAND(),最终结果!$I$12,最终结果!$E$12),0)</f>
        <v>118</v>
      </c>
      <c r="G265" t="str">
        <f t="shared" ca="1" si="8"/>
        <v>Home</v>
      </c>
      <c r="H265" t="str">
        <f ca="1">IF(E265+最终结果!$G$8&gt;simulation!F265,"W","L")</f>
        <v>L</v>
      </c>
      <c r="I265" t="str">
        <f ca="1">IF(F265+最终结果!$G$12&gt;simulation!E265,"W","L")</f>
        <v>W</v>
      </c>
      <c r="J265" t="str">
        <f ca="1">IF((E265+F265)&gt;最终结果!$H$8,"Over","Under")</f>
        <v>Under</v>
      </c>
    </row>
    <row r="266" spans="3:10" x14ac:dyDescent="0.25">
      <c r="C266">
        <v>265</v>
      </c>
      <c r="D266" t="str">
        <f t="shared" ca="1" si="9"/>
        <v>-1</v>
      </c>
      <c r="E266">
        <f ca="1">ROUND(NORMINV(RAND(),最终结果!$I$8,最终结果!$E$8),0)</f>
        <v>97</v>
      </c>
      <c r="F266">
        <f ca="1">ROUND(NORMINV(RAND(),最终结果!$I$12,最终结果!$E$12),0)</f>
        <v>126</v>
      </c>
      <c r="G266" t="str">
        <f t="shared" ca="1" si="8"/>
        <v>Home</v>
      </c>
      <c r="H266" t="str">
        <f ca="1">IF(E266+最终结果!$G$8&gt;simulation!F266,"W","L")</f>
        <v>L</v>
      </c>
      <c r="I266" t="str">
        <f ca="1">IF(F266+最终结果!$G$12&gt;simulation!E266,"W","L")</f>
        <v>W</v>
      </c>
      <c r="J266" t="str">
        <f ca="1">IF((E266+F266)&gt;最终结果!$H$8,"Over","Under")</f>
        <v>Under</v>
      </c>
    </row>
    <row r="267" spans="3:10" x14ac:dyDescent="0.25">
      <c r="C267">
        <v>266</v>
      </c>
      <c r="D267">
        <f t="shared" ca="1" si="9"/>
        <v>0</v>
      </c>
      <c r="E267">
        <f ca="1">ROUND(NORMINV(RAND(),最终结果!$I$8,最终结果!$E$8),0)</f>
        <v>104</v>
      </c>
      <c r="F267">
        <f ca="1">ROUND(NORMINV(RAND(),最终结果!$I$12,最终结果!$E$12),0)</f>
        <v>104</v>
      </c>
      <c r="G267" t="str">
        <f t="shared" ca="1" si="8"/>
        <v>OT</v>
      </c>
      <c r="H267" t="str">
        <f ca="1">IF(E267+最终结果!$G$8&gt;simulation!F267,"W","L")</f>
        <v>W</v>
      </c>
      <c r="I267" t="str">
        <f ca="1">IF(F267+最终结果!$G$12&gt;simulation!E267,"W","L")</f>
        <v>L</v>
      </c>
      <c r="J267" t="str">
        <f ca="1">IF((E267+F267)&gt;最终结果!$H$8,"Over","Under")</f>
        <v>Under</v>
      </c>
    </row>
    <row r="268" spans="3:10" x14ac:dyDescent="0.25">
      <c r="C268">
        <v>267</v>
      </c>
      <c r="D268" t="str">
        <f t="shared" ca="1" si="9"/>
        <v>-1</v>
      </c>
      <c r="E268">
        <f ca="1">ROUND(NORMINV(RAND(),最终结果!$I$8,最终结果!$E$8),0)</f>
        <v>119</v>
      </c>
      <c r="F268">
        <f ca="1">ROUND(NORMINV(RAND(),最终结果!$I$12,最终结果!$E$12),0)</f>
        <v>123</v>
      </c>
      <c r="G268" t="str">
        <f t="shared" ca="1" si="8"/>
        <v>Home</v>
      </c>
      <c r="H268" t="str">
        <f ca="1">IF(E268+最终结果!$G$8&gt;simulation!F268,"W","L")</f>
        <v>L</v>
      </c>
      <c r="I268" t="str">
        <f ca="1">IF(F268+最终结果!$G$12&gt;simulation!E268,"W","L")</f>
        <v>W</v>
      </c>
      <c r="J268" t="str">
        <f ca="1">IF((E268+F268)&gt;最终结果!$H$8,"Over","Under")</f>
        <v>Over</v>
      </c>
    </row>
    <row r="269" spans="3:10" x14ac:dyDescent="0.25">
      <c r="C269">
        <v>268</v>
      </c>
      <c r="D269" t="str">
        <f t="shared" ca="1" si="9"/>
        <v>-1</v>
      </c>
      <c r="E269">
        <f ca="1">ROUND(NORMINV(RAND(),最终结果!$I$8,最终结果!$E$8),0)</f>
        <v>104</v>
      </c>
      <c r="F269">
        <f ca="1">ROUND(NORMINV(RAND(),最终结果!$I$12,最终结果!$E$12),0)</f>
        <v>118</v>
      </c>
      <c r="G269" t="str">
        <f t="shared" ca="1" si="8"/>
        <v>Home</v>
      </c>
      <c r="H269" t="str">
        <f ca="1">IF(E269+最终结果!$G$8&gt;simulation!F269,"W","L")</f>
        <v>L</v>
      </c>
      <c r="I269" t="str">
        <f ca="1">IF(F269+最终结果!$G$12&gt;simulation!E269,"W","L")</f>
        <v>W</v>
      </c>
      <c r="J269" t="str">
        <f ca="1">IF((E269+F269)&gt;最终结果!$H$8,"Over","Under")</f>
        <v>Under</v>
      </c>
    </row>
    <row r="270" spans="3:10" x14ac:dyDescent="0.25">
      <c r="C270">
        <v>269</v>
      </c>
      <c r="D270" t="str">
        <f t="shared" ca="1" si="9"/>
        <v>-1</v>
      </c>
      <c r="E270">
        <f ca="1">ROUND(NORMINV(RAND(),最终结果!$I$8,最终结果!$E$8),0)</f>
        <v>101</v>
      </c>
      <c r="F270">
        <f ca="1">ROUND(NORMINV(RAND(),最终结果!$I$12,最终结果!$E$12),0)</f>
        <v>110</v>
      </c>
      <c r="G270" t="str">
        <f t="shared" ref="G270:G333" ca="1" si="10">IF(E270=F270,"OT",IF(E270&gt;F270,"Away","Home"))</f>
        <v>Home</v>
      </c>
      <c r="H270" t="str">
        <f ca="1">IF(E270+最终结果!$G$8&gt;simulation!F270,"W","L")</f>
        <v>L</v>
      </c>
      <c r="I270" t="str">
        <f ca="1">IF(F270+最终结果!$G$12&gt;simulation!E270,"W","L")</f>
        <v>W</v>
      </c>
      <c r="J270" t="str">
        <f ca="1">IF((E270+F270)&gt;最终结果!$H$8,"Over","Under")</f>
        <v>Under</v>
      </c>
    </row>
    <row r="271" spans="3:10" x14ac:dyDescent="0.25">
      <c r="C271">
        <v>270</v>
      </c>
      <c r="D271" t="str">
        <f t="shared" ca="1" si="9"/>
        <v>1</v>
      </c>
      <c r="E271">
        <f ca="1">ROUND(NORMINV(RAND(),最终结果!$I$8,最终结果!$E$8),0)</f>
        <v>125</v>
      </c>
      <c r="F271">
        <f ca="1">ROUND(NORMINV(RAND(),最终结果!$I$12,最终结果!$E$12),0)</f>
        <v>121</v>
      </c>
      <c r="G271" t="str">
        <f t="shared" ca="1" si="10"/>
        <v>Away</v>
      </c>
      <c r="H271" t="str">
        <f ca="1">IF(E271+最终结果!$G$8&gt;simulation!F271,"W","L")</f>
        <v>W</v>
      </c>
      <c r="I271" t="str">
        <f ca="1">IF(F271+最终结果!$G$12&gt;simulation!E271,"W","L")</f>
        <v>L</v>
      </c>
      <c r="J271" t="str">
        <f ca="1">IF((E271+F271)&gt;最终结果!$H$8,"Over","Under")</f>
        <v>Over</v>
      </c>
    </row>
    <row r="272" spans="3:10" x14ac:dyDescent="0.25">
      <c r="C272">
        <v>271</v>
      </c>
      <c r="D272" t="str">
        <f t="shared" ca="1" si="9"/>
        <v>1</v>
      </c>
      <c r="E272">
        <f ca="1">ROUND(NORMINV(RAND(),最终结果!$I$8,最终结果!$E$8),0)</f>
        <v>122</v>
      </c>
      <c r="F272">
        <f ca="1">ROUND(NORMINV(RAND(),最终结果!$I$12,最终结果!$E$12),0)</f>
        <v>112</v>
      </c>
      <c r="G272" t="str">
        <f t="shared" ca="1" si="10"/>
        <v>Away</v>
      </c>
      <c r="H272" t="str">
        <f ca="1">IF(E272+最终结果!$G$8&gt;simulation!F272,"W","L")</f>
        <v>W</v>
      </c>
      <c r="I272" t="str">
        <f ca="1">IF(F272+最终结果!$G$12&gt;simulation!E272,"W","L")</f>
        <v>L</v>
      </c>
      <c r="J272" t="str">
        <f ca="1">IF((E272+F272)&gt;最终结果!$H$8,"Over","Under")</f>
        <v>Under</v>
      </c>
    </row>
    <row r="273" spans="3:10" x14ac:dyDescent="0.25">
      <c r="C273">
        <v>272</v>
      </c>
      <c r="D273" t="str">
        <f t="shared" ca="1" si="9"/>
        <v>-1</v>
      </c>
      <c r="E273">
        <f ca="1">ROUND(NORMINV(RAND(),最终结果!$I$8,最终结果!$E$8),0)</f>
        <v>119</v>
      </c>
      <c r="F273">
        <f ca="1">ROUND(NORMINV(RAND(),最终结果!$I$12,最终结果!$E$12),0)</f>
        <v>128</v>
      </c>
      <c r="G273" t="str">
        <f t="shared" ca="1" si="10"/>
        <v>Home</v>
      </c>
      <c r="H273" t="str">
        <f ca="1">IF(E273+最终结果!$G$8&gt;simulation!F273,"W","L")</f>
        <v>L</v>
      </c>
      <c r="I273" t="str">
        <f ca="1">IF(F273+最终结果!$G$12&gt;simulation!E273,"W","L")</f>
        <v>W</v>
      </c>
      <c r="J273" t="str">
        <f ca="1">IF((E273+F273)&gt;最终结果!$H$8,"Over","Under")</f>
        <v>Over</v>
      </c>
    </row>
    <row r="274" spans="3:10" x14ac:dyDescent="0.25">
      <c r="C274">
        <v>273</v>
      </c>
      <c r="D274" t="str">
        <f t="shared" ca="1" si="9"/>
        <v>1</v>
      </c>
      <c r="E274">
        <f ca="1">ROUND(NORMINV(RAND(),最终结果!$I$8,最终结果!$E$8),0)</f>
        <v>109</v>
      </c>
      <c r="F274">
        <f ca="1">ROUND(NORMINV(RAND(),最终结果!$I$12,最终结果!$E$12),0)</f>
        <v>98</v>
      </c>
      <c r="G274" t="str">
        <f t="shared" ca="1" si="10"/>
        <v>Away</v>
      </c>
      <c r="H274" t="str">
        <f ca="1">IF(E274+最终结果!$G$8&gt;simulation!F274,"W","L")</f>
        <v>W</v>
      </c>
      <c r="I274" t="str">
        <f ca="1">IF(F274+最终结果!$G$12&gt;simulation!E274,"W","L")</f>
        <v>L</v>
      </c>
      <c r="J274" t="str">
        <f ca="1">IF((E274+F274)&gt;最终结果!$H$8,"Over","Under")</f>
        <v>Under</v>
      </c>
    </row>
    <row r="275" spans="3:10" x14ac:dyDescent="0.25">
      <c r="C275">
        <v>274</v>
      </c>
      <c r="D275" t="str">
        <f t="shared" ca="1" si="9"/>
        <v>1</v>
      </c>
      <c r="E275">
        <f ca="1">ROUND(NORMINV(RAND(),最终结果!$I$8,最终结果!$E$8),0)</f>
        <v>116</v>
      </c>
      <c r="F275">
        <f ca="1">ROUND(NORMINV(RAND(),最终结果!$I$12,最终结果!$E$12),0)</f>
        <v>104</v>
      </c>
      <c r="G275" t="str">
        <f t="shared" ca="1" si="10"/>
        <v>Away</v>
      </c>
      <c r="H275" t="str">
        <f ca="1">IF(E275+最终结果!$G$8&gt;simulation!F275,"W","L")</f>
        <v>W</v>
      </c>
      <c r="I275" t="str">
        <f ca="1">IF(F275+最终结果!$G$12&gt;simulation!E275,"W","L")</f>
        <v>L</v>
      </c>
      <c r="J275" t="str">
        <f ca="1">IF((E275+F275)&gt;最终结果!$H$8,"Over","Under")</f>
        <v>Under</v>
      </c>
    </row>
    <row r="276" spans="3:10" x14ac:dyDescent="0.25">
      <c r="C276">
        <v>275</v>
      </c>
      <c r="D276" t="str">
        <f t="shared" ca="1" si="9"/>
        <v>-1</v>
      </c>
      <c r="E276">
        <f ca="1">ROUND(NORMINV(RAND(),最终结果!$I$8,最终结果!$E$8),0)</f>
        <v>109</v>
      </c>
      <c r="F276">
        <f ca="1">ROUND(NORMINV(RAND(),最终结果!$I$12,最终结果!$E$12),0)</f>
        <v>137</v>
      </c>
      <c r="G276" t="str">
        <f t="shared" ca="1" si="10"/>
        <v>Home</v>
      </c>
      <c r="H276" t="str">
        <f ca="1">IF(E276+最终结果!$G$8&gt;simulation!F276,"W","L")</f>
        <v>L</v>
      </c>
      <c r="I276" t="str">
        <f ca="1">IF(F276+最终结果!$G$12&gt;simulation!E276,"W","L")</f>
        <v>W</v>
      </c>
      <c r="J276" t="str">
        <f ca="1">IF((E276+F276)&gt;最终结果!$H$8,"Over","Under")</f>
        <v>Over</v>
      </c>
    </row>
    <row r="277" spans="3:10" x14ac:dyDescent="0.25">
      <c r="C277">
        <v>276</v>
      </c>
      <c r="D277" t="str">
        <f t="shared" ca="1" si="9"/>
        <v>-1</v>
      </c>
      <c r="E277">
        <f ca="1">ROUND(NORMINV(RAND(),最终结果!$I$8,最终结果!$E$8),0)</f>
        <v>93</v>
      </c>
      <c r="F277">
        <f ca="1">ROUND(NORMINV(RAND(),最终结果!$I$12,最终结果!$E$12),0)</f>
        <v>95</v>
      </c>
      <c r="G277" t="str">
        <f t="shared" ca="1" si="10"/>
        <v>Home</v>
      </c>
      <c r="H277" t="str">
        <f ca="1">IF(E277+最终结果!$G$8&gt;simulation!F277,"W","L")</f>
        <v>W</v>
      </c>
      <c r="I277" t="str">
        <f ca="1">IF(F277+最终结果!$G$12&gt;simulation!E277,"W","L")</f>
        <v>L</v>
      </c>
      <c r="J277" t="str">
        <f ca="1">IF((E277+F277)&gt;最终结果!$H$8,"Over","Under")</f>
        <v>Under</v>
      </c>
    </row>
    <row r="278" spans="3:10" x14ac:dyDescent="0.25">
      <c r="C278">
        <v>277</v>
      </c>
      <c r="D278" t="str">
        <f t="shared" ca="1" si="9"/>
        <v>-1</v>
      </c>
      <c r="E278">
        <f ca="1">ROUND(NORMINV(RAND(),最终结果!$I$8,最终结果!$E$8),0)</f>
        <v>110</v>
      </c>
      <c r="F278">
        <f ca="1">ROUND(NORMINV(RAND(),最终结果!$I$12,最终结果!$E$12),0)</f>
        <v>130</v>
      </c>
      <c r="G278" t="str">
        <f t="shared" ca="1" si="10"/>
        <v>Home</v>
      </c>
      <c r="H278" t="str">
        <f ca="1">IF(E278+最终结果!$G$8&gt;simulation!F278,"W","L")</f>
        <v>L</v>
      </c>
      <c r="I278" t="str">
        <f ca="1">IF(F278+最终结果!$G$12&gt;simulation!E278,"W","L")</f>
        <v>W</v>
      </c>
      <c r="J278" t="str">
        <f ca="1">IF((E278+F278)&gt;最终结果!$H$8,"Over","Under")</f>
        <v>Over</v>
      </c>
    </row>
    <row r="279" spans="3:10" x14ac:dyDescent="0.25">
      <c r="C279">
        <v>278</v>
      </c>
      <c r="D279" t="str">
        <f t="shared" ca="1" si="9"/>
        <v>1</v>
      </c>
      <c r="E279">
        <f ca="1">ROUND(NORMINV(RAND(),最终结果!$I$8,最终结果!$E$8),0)</f>
        <v>129</v>
      </c>
      <c r="F279">
        <f ca="1">ROUND(NORMINV(RAND(),最终结果!$I$12,最终结果!$E$12),0)</f>
        <v>107</v>
      </c>
      <c r="G279" t="str">
        <f t="shared" ca="1" si="10"/>
        <v>Away</v>
      </c>
      <c r="H279" t="str">
        <f ca="1">IF(E279+最终结果!$G$8&gt;simulation!F279,"W","L")</f>
        <v>W</v>
      </c>
      <c r="I279" t="str">
        <f ca="1">IF(F279+最终结果!$G$12&gt;simulation!E279,"W","L")</f>
        <v>L</v>
      </c>
      <c r="J279" t="str">
        <f ca="1">IF((E279+F279)&gt;最终结果!$H$8,"Over","Under")</f>
        <v>Under</v>
      </c>
    </row>
    <row r="280" spans="3:10" x14ac:dyDescent="0.25">
      <c r="C280">
        <v>279</v>
      </c>
      <c r="D280" t="str">
        <f t="shared" ca="1" si="9"/>
        <v>1</v>
      </c>
      <c r="E280">
        <f ca="1">ROUND(NORMINV(RAND(),最终结果!$I$8,最终结果!$E$8),0)</f>
        <v>135</v>
      </c>
      <c r="F280">
        <f ca="1">ROUND(NORMINV(RAND(),最终结果!$I$12,最终结果!$E$12),0)</f>
        <v>110</v>
      </c>
      <c r="G280" t="str">
        <f t="shared" ca="1" si="10"/>
        <v>Away</v>
      </c>
      <c r="H280" t="str">
        <f ca="1">IF(E280+最终结果!$G$8&gt;simulation!F280,"W","L")</f>
        <v>W</v>
      </c>
      <c r="I280" t="str">
        <f ca="1">IF(F280+最终结果!$G$12&gt;simulation!E280,"W","L")</f>
        <v>L</v>
      </c>
      <c r="J280" t="str">
        <f ca="1">IF((E280+F280)&gt;最终结果!$H$8,"Over","Under")</f>
        <v>Over</v>
      </c>
    </row>
    <row r="281" spans="3:10" x14ac:dyDescent="0.25">
      <c r="C281">
        <v>280</v>
      </c>
      <c r="D281" t="str">
        <f t="shared" ca="1" si="9"/>
        <v>1</v>
      </c>
      <c r="E281">
        <f ca="1">ROUND(NORMINV(RAND(),最终结果!$I$8,最终结果!$E$8),0)</f>
        <v>114</v>
      </c>
      <c r="F281">
        <f ca="1">ROUND(NORMINV(RAND(),最终结果!$I$12,最终结果!$E$12),0)</f>
        <v>100</v>
      </c>
      <c r="G281" t="str">
        <f t="shared" ca="1" si="10"/>
        <v>Away</v>
      </c>
      <c r="H281" t="str">
        <f ca="1">IF(E281+最终结果!$G$8&gt;simulation!F281,"W","L")</f>
        <v>W</v>
      </c>
      <c r="I281" t="str">
        <f ca="1">IF(F281+最终结果!$G$12&gt;simulation!E281,"W","L")</f>
        <v>L</v>
      </c>
      <c r="J281" t="str">
        <f ca="1">IF((E281+F281)&gt;最终结果!$H$8,"Over","Under")</f>
        <v>Under</v>
      </c>
    </row>
    <row r="282" spans="3:10" x14ac:dyDescent="0.25">
      <c r="C282">
        <v>281</v>
      </c>
      <c r="D282" t="str">
        <f t="shared" ca="1" si="9"/>
        <v>-1</v>
      </c>
      <c r="E282">
        <f ca="1">ROUND(NORMINV(RAND(),最终结果!$I$8,最终结果!$E$8),0)</f>
        <v>101</v>
      </c>
      <c r="F282">
        <f ca="1">ROUND(NORMINV(RAND(),最终结果!$I$12,最终结果!$E$12),0)</f>
        <v>117</v>
      </c>
      <c r="G282" t="str">
        <f t="shared" ca="1" si="10"/>
        <v>Home</v>
      </c>
      <c r="H282" t="str">
        <f ca="1">IF(E282+最终结果!$G$8&gt;simulation!F282,"W","L")</f>
        <v>L</v>
      </c>
      <c r="I282" t="str">
        <f ca="1">IF(F282+最终结果!$G$12&gt;simulation!E282,"W","L")</f>
        <v>W</v>
      </c>
      <c r="J282" t="str">
        <f ca="1">IF((E282+F282)&gt;最终结果!$H$8,"Over","Under")</f>
        <v>Under</v>
      </c>
    </row>
    <row r="283" spans="3:10" x14ac:dyDescent="0.25">
      <c r="C283">
        <v>282</v>
      </c>
      <c r="D283" t="str">
        <f t="shared" ca="1" si="9"/>
        <v>-1</v>
      </c>
      <c r="E283">
        <f ca="1">ROUND(NORMINV(RAND(),最终结果!$I$8,最终结果!$E$8),0)</f>
        <v>104</v>
      </c>
      <c r="F283">
        <f ca="1">ROUND(NORMINV(RAND(),最终结果!$I$12,最终结果!$E$12),0)</f>
        <v>125</v>
      </c>
      <c r="G283" t="str">
        <f t="shared" ca="1" si="10"/>
        <v>Home</v>
      </c>
      <c r="H283" t="str">
        <f ca="1">IF(E283+最终结果!$G$8&gt;simulation!F283,"W","L")</f>
        <v>L</v>
      </c>
      <c r="I283" t="str">
        <f ca="1">IF(F283+最终结果!$G$12&gt;simulation!E283,"W","L")</f>
        <v>W</v>
      </c>
      <c r="J283" t="str">
        <f ca="1">IF((E283+F283)&gt;最终结果!$H$8,"Over","Under")</f>
        <v>Under</v>
      </c>
    </row>
    <row r="284" spans="3:10" x14ac:dyDescent="0.25">
      <c r="C284">
        <v>283</v>
      </c>
      <c r="D284" t="str">
        <f t="shared" ca="1" si="9"/>
        <v>-1</v>
      </c>
      <c r="E284">
        <f ca="1">ROUND(NORMINV(RAND(),最终结果!$I$8,最终结果!$E$8),0)</f>
        <v>127</v>
      </c>
      <c r="F284">
        <f ca="1">ROUND(NORMINV(RAND(),最终结果!$I$12,最终结果!$E$12),0)</f>
        <v>145</v>
      </c>
      <c r="G284" t="str">
        <f t="shared" ca="1" si="10"/>
        <v>Home</v>
      </c>
      <c r="H284" t="str">
        <f ca="1">IF(E284+最终结果!$G$8&gt;simulation!F284,"W","L")</f>
        <v>L</v>
      </c>
      <c r="I284" t="str">
        <f ca="1">IF(F284+最终结果!$G$12&gt;simulation!E284,"W","L")</f>
        <v>W</v>
      </c>
      <c r="J284" t="str">
        <f ca="1">IF((E284+F284)&gt;最终结果!$H$8,"Over","Under")</f>
        <v>Over</v>
      </c>
    </row>
    <row r="285" spans="3:10" x14ac:dyDescent="0.25">
      <c r="C285">
        <v>284</v>
      </c>
      <c r="D285" t="str">
        <f t="shared" ca="1" si="9"/>
        <v>-1</v>
      </c>
      <c r="E285">
        <f ca="1">ROUND(NORMINV(RAND(),最终结果!$I$8,最终结果!$E$8),0)</f>
        <v>116</v>
      </c>
      <c r="F285">
        <f ca="1">ROUND(NORMINV(RAND(),最终结果!$I$12,最终结果!$E$12),0)</f>
        <v>136</v>
      </c>
      <c r="G285" t="str">
        <f t="shared" ca="1" si="10"/>
        <v>Home</v>
      </c>
      <c r="H285" t="str">
        <f ca="1">IF(E285+最终结果!$G$8&gt;simulation!F285,"W","L")</f>
        <v>L</v>
      </c>
      <c r="I285" t="str">
        <f ca="1">IF(F285+最终结果!$G$12&gt;simulation!E285,"W","L")</f>
        <v>W</v>
      </c>
      <c r="J285" t="str">
        <f ca="1">IF((E285+F285)&gt;最终结果!$H$8,"Over","Under")</f>
        <v>Over</v>
      </c>
    </row>
    <row r="286" spans="3:10" x14ac:dyDescent="0.25">
      <c r="C286">
        <v>285</v>
      </c>
      <c r="D286" t="str">
        <f t="shared" ca="1" si="9"/>
        <v>-1</v>
      </c>
      <c r="E286">
        <f ca="1">ROUND(NORMINV(RAND(),最终结果!$I$8,最终结果!$E$8),0)</f>
        <v>104</v>
      </c>
      <c r="F286">
        <f ca="1">ROUND(NORMINV(RAND(),最终结果!$I$12,最终结果!$E$12),0)</f>
        <v>121</v>
      </c>
      <c r="G286" t="str">
        <f t="shared" ca="1" si="10"/>
        <v>Home</v>
      </c>
      <c r="H286" t="str">
        <f ca="1">IF(E286+最终结果!$G$8&gt;simulation!F286,"W","L")</f>
        <v>L</v>
      </c>
      <c r="I286" t="str">
        <f ca="1">IF(F286+最终结果!$G$12&gt;simulation!E286,"W","L")</f>
        <v>W</v>
      </c>
      <c r="J286" t="str">
        <f ca="1">IF((E286+F286)&gt;最终结果!$H$8,"Over","Under")</f>
        <v>Under</v>
      </c>
    </row>
    <row r="287" spans="3:10" x14ac:dyDescent="0.25">
      <c r="C287">
        <v>286</v>
      </c>
      <c r="D287" t="str">
        <f t="shared" ca="1" si="9"/>
        <v>1</v>
      </c>
      <c r="E287">
        <f ca="1">ROUND(NORMINV(RAND(),最终结果!$I$8,最终结果!$E$8),0)</f>
        <v>103</v>
      </c>
      <c r="F287">
        <f ca="1">ROUND(NORMINV(RAND(),最终结果!$I$12,最终结果!$E$12),0)</f>
        <v>93</v>
      </c>
      <c r="G287" t="str">
        <f t="shared" ca="1" si="10"/>
        <v>Away</v>
      </c>
      <c r="H287" t="str">
        <f ca="1">IF(E287+最终结果!$G$8&gt;simulation!F287,"W","L")</f>
        <v>W</v>
      </c>
      <c r="I287" t="str">
        <f ca="1">IF(F287+最终结果!$G$12&gt;simulation!E287,"W","L")</f>
        <v>L</v>
      </c>
      <c r="J287" t="str">
        <f ca="1">IF((E287+F287)&gt;最终结果!$H$8,"Over","Under")</f>
        <v>Under</v>
      </c>
    </row>
    <row r="288" spans="3:10" x14ac:dyDescent="0.25">
      <c r="C288">
        <v>287</v>
      </c>
      <c r="D288" t="str">
        <f t="shared" ca="1" si="9"/>
        <v>-1</v>
      </c>
      <c r="E288">
        <f ca="1">ROUND(NORMINV(RAND(),最终结果!$I$8,最终结果!$E$8),0)</f>
        <v>99</v>
      </c>
      <c r="F288">
        <f ca="1">ROUND(NORMINV(RAND(),最终结果!$I$12,最终结果!$E$12),0)</f>
        <v>101</v>
      </c>
      <c r="G288" t="str">
        <f t="shared" ca="1" si="10"/>
        <v>Home</v>
      </c>
      <c r="H288" t="str">
        <f ca="1">IF(E288+最终结果!$G$8&gt;simulation!F288,"W","L")</f>
        <v>W</v>
      </c>
      <c r="I288" t="str">
        <f ca="1">IF(F288+最终结果!$G$12&gt;simulation!E288,"W","L")</f>
        <v>L</v>
      </c>
      <c r="J288" t="str">
        <f ca="1">IF((E288+F288)&gt;最终结果!$H$8,"Over","Under")</f>
        <v>Under</v>
      </c>
    </row>
    <row r="289" spans="3:10" x14ac:dyDescent="0.25">
      <c r="C289">
        <v>288</v>
      </c>
      <c r="D289" t="str">
        <f t="shared" ca="1" si="9"/>
        <v>-1</v>
      </c>
      <c r="E289">
        <f ca="1">ROUND(NORMINV(RAND(),最终结果!$I$8,最终结果!$E$8),0)</f>
        <v>101</v>
      </c>
      <c r="F289">
        <f ca="1">ROUND(NORMINV(RAND(),最终结果!$I$12,最终结果!$E$12),0)</f>
        <v>114</v>
      </c>
      <c r="G289" t="str">
        <f t="shared" ca="1" si="10"/>
        <v>Home</v>
      </c>
      <c r="H289" t="str">
        <f ca="1">IF(E289+最终结果!$G$8&gt;simulation!F289,"W","L")</f>
        <v>L</v>
      </c>
      <c r="I289" t="str">
        <f ca="1">IF(F289+最终结果!$G$12&gt;simulation!E289,"W","L")</f>
        <v>W</v>
      </c>
      <c r="J289" t="str">
        <f ca="1">IF((E289+F289)&gt;最终结果!$H$8,"Over","Under")</f>
        <v>Under</v>
      </c>
    </row>
    <row r="290" spans="3:10" x14ac:dyDescent="0.25">
      <c r="C290">
        <v>289</v>
      </c>
      <c r="D290" t="str">
        <f t="shared" ca="1" si="9"/>
        <v>1</v>
      </c>
      <c r="E290">
        <f ca="1">ROUND(NORMINV(RAND(),最终结果!$I$8,最终结果!$E$8),0)</f>
        <v>138</v>
      </c>
      <c r="F290">
        <f ca="1">ROUND(NORMINV(RAND(),最终结果!$I$12,最终结果!$E$12),0)</f>
        <v>135</v>
      </c>
      <c r="G290" t="str">
        <f t="shared" ca="1" si="10"/>
        <v>Away</v>
      </c>
      <c r="H290" t="str">
        <f ca="1">IF(E290+最终结果!$G$8&gt;simulation!F290,"W","L")</f>
        <v>W</v>
      </c>
      <c r="I290" t="str">
        <f ca="1">IF(F290+最终结果!$G$12&gt;simulation!E290,"W","L")</f>
        <v>L</v>
      </c>
      <c r="J290" t="str">
        <f ca="1">IF((E290+F290)&gt;最终结果!$H$8,"Over","Under")</f>
        <v>Over</v>
      </c>
    </row>
    <row r="291" spans="3:10" x14ac:dyDescent="0.25">
      <c r="C291">
        <v>290</v>
      </c>
      <c r="D291" t="str">
        <f t="shared" ca="1" si="9"/>
        <v>1</v>
      </c>
      <c r="E291">
        <f ca="1">ROUND(NORMINV(RAND(),最终结果!$I$8,最终结果!$E$8),0)</f>
        <v>125</v>
      </c>
      <c r="F291">
        <f ca="1">ROUND(NORMINV(RAND(),最终结果!$I$12,最终结果!$E$12),0)</f>
        <v>122</v>
      </c>
      <c r="G291" t="str">
        <f t="shared" ca="1" si="10"/>
        <v>Away</v>
      </c>
      <c r="H291" t="str">
        <f ca="1">IF(E291+最终结果!$G$8&gt;simulation!F291,"W","L")</f>
        <v>W</v>
      </c>
      <c r="I291" t="str">
        <f ca="1">IF(F291+最终结果!$G$12&gt;simulation!E291,"W","L")</f>
        <v>L</v>
      </c>
      <c r="J291" t="str">
        <f ca="1">IF((E291+F291)&gt;最终结果!$H$8,"Over","Under")</f>
        <v>Over</v>
      </c>
    </row>
    <row r="292" spans="3:10" x14ac:dyDescent="0.25">
      <c r="C292">
        <v>291</v>
      </c>
      <c r="D292" t="str">
        <f t="shared" ca="1" si="9"/>
        <v>1</v>
      </c>
      <c r="E292">
        <f ca="1">ROUND(NORMINV(RAND(),最终结果!$I$8,最终结果!$E$8),0)</f>
        <v>115</v>
      </c>
      <c r="F292">
        <f ca="1">ROUND(NORMINV(RAND(),最终结果!$I$12,最终结果!$E$12),0)</f>
        <v>111</v>
      </c>
      <c r="G292" t="str">
        <f t="shared" ca="1" si="10"/>
        <v>Away</v>
      </c>
      <c r="H292" t="str">
        <f ca="1">IF(E292+最终结果!$G$8&gt;simulation!F292,"W","L")</f>
        <v>W</v>
      </c>
      <c r="I292" t="str">
        <f ca="1">IF(F292+最终结果!$G$12&gt;simulation!E292,"W","L")</f>
        <v>L</v>
      </c>
      <c r="J292" t="str">
        <f ca="1">IF((E292+F292)&gt;最终结果!$H$8,"Over","Under")</f>
        <v>Under</v>
      </c>
    </row>
    <row r="293" spans="3:10" x14ac:dyDescent="0.25">
      <c r="C293">
        <v>292</v>
      </c>
      <c r="D293" t="str">
        <f t="shared" ca="1" si="9"/>
        <v>-1</v>
      </c>
      <c r="E293">
        <f ca="1">ROUND(NORMINV(RAND(),最终结果!$I$8,最终结果!$E$8),0)</f>
        <v>109</v>
      </c>
      <c r="F293">
        <f ca="1">ROUND(NORMINV(RAND(),最终结果!$I$12,最终结果!$E$12),0)</f>
        <v>132</v>
      </c>
      <c r="G293" t="str">
        <f t="shared" ca="1" si="10"/>
        <v>Home</v>
      </c>
      <c r="H293" t="str">
        <f ca="1">IF(E293+最终结果!$G$8&gt;simulation!F293,"W","L")</f>
        <v>L</v>
      </c>
      <c r="I293" t="str">
        <f ca="1">IF(F293+最终结果!$G$12&gt;simulation!E293,"W","L")</f>
        <v>W</v>
      </c>
      <c r="J293" t="str">
        <f ca="1">IF((E293+F293)&gt;最终结果!$H$8,"Over","Under")</f>
        <v>Over</v>
      </c>
    </row>
    <row r="294" spans="3:10" x14ac:dyDescent="0.25">
      <c r="C294">
        <v>293</v>
      </c>
      <c r="D294" t="str">
        <f t="shared" ca="1" si="9"/>
        <v>1</v>
      </c>
      <c r="E294">
        <f ca="1">ROUND(NORMINV(RAND(),最终结果!$I$8,最终结果!$E$8),0)</f>
        <v>112</v>
      </c>
      <c r="F294">
        <f ca="1">ROUND(NORMINV(RAND(),最终结果!$I$12,最终结果!$E$12),0)</f>
        <v>101</v>
      </c>
      <c r="G294" t="str">
        <f t="shared" ca="1" si="10"/>
        <v>Away</v>
      </c>
      <c r="H294" t="str">
        <f ca="1">IF(E294+最终结果!$G$8&gt;simulation!F294,"W","L")</f>
        <v>W</v>
      </c>
      <c r="I294" t="str">
        <f ca="1">IF(F294+最终结果!$G$12&gt;simulation!E294,"W","L")</f>
        <v>L</v>
      </c>
      <c r="J294" t="str">
        <f ca="1">IF((E294+F294)&gt;最终结果!$H$8,"Over","Under")</f>
        <v>Under</v>
      </c>
    </row>
    <row r="295" spans="3:10" x14ac:dyDescent="0.25">
      <c r="C295">
        <v>294</v>
      </c>
      <c r="D295" t="str">
        <f t="shared" ca="1" si="9"/>
        <v>1</v>
      </c>
      <c r="E295">
        <f ca="1">ROUND(NORMINV(RAND(),最终结果!$I$8,最终结果!$E$8),0)</f>
        <v>119</v>
      </c>
      <c r="F295">
        <f ca="1">ROUND(NORMINV(RAND(),最终结果!$I$12,最终结果!$E$12),0)</f>
        <v>117</v>
      </c>
      <c r="G295" t="str">
        <f t="shared" ca="1" si="10"/>
        <v>Away</v>
      </c>
      <c r="H295" t="str">
        <f ca="1">IF(E295+最终结果!$G$8&gt;simulation!F295,"W","L")</f>
        <v>W</v>
      </c>
      <c r="I295" t="str">
        <f ca="1">IF(F295+最终结果!$G$12&gt;simulation!E295,"W","L")</f>
        <v>L</v>
      </c>
      <c r="J295" t="str">
        <f ca="1">IF((E295+F295)&gt;最终结果!$H$8,"Over","Under")</f>
        <v>Under</v>
      </c>
    </row>
    <row r="296" spans="3:10" x14ac:dyDescent="0.25">
      <c r="C296">
        <v>295</v>
      </c>
      <c r="D296" t="str">
        <f t="shared" ca="1" si="9"/>
        <v>1</v>
      </c>
      <c r="E296">
        <f ca="1">ROUND(NORMINV(RAND(),最终结果!$I$8,最终结果!$E$8),0)</f>
        <v>120</v>
      </c>
      <c r="F296">
        <f ca="1">ROUND(NORMINV(RAND(),最终结果!$I$12,最终结果!$E$12),0)</f>
        <v>102</v>
      </c>
      <c r="G296" t="str">
        <f t="shared" ca="1" si="10"/>
        <v>Away</v>
      </c>
      <c r="H296" t="str">
        <f ca="1">IF(E296+最终结果!$G$8&gt;simulation!F296,"W","L")</f>
        <v>W</v>
      </c>
      <c r="I296" t="str">
        <f ca="1">IF(F296+最终结果!$G$12&gt;simulation!E296,"W","L")</f>
        <v>L</v>
      </c>
      <c r="J296" t="str">
        <f ca="1">IF((E296+F296)&gt;最终结果!$H$8,"Over","Under")</f>
        <v>Under</v>
      </c>
    </row>
    <row r="297" spans="3:10" x14ac:dyDescent="0.25">
      <c r="C297">
        <v>296</v>
      </c>
      <c r="D297" t="str">
        <f t="shared" ca="1" si="9"/>
        <v>1</v>
      </c>
      <c r="E297">
        <f ca="1">ROUND(NORMINV(RAND(),最终结果!$I$8,最终结果!$E$8),0)</f>
        <v>99</v>
      </c>
      <c r="F297">
        <f ca="1">ROUND(NORMINV(RAND(),最终结果!$I$12,最终结果!$E$12),0)</f>
        <v>87</v>
      </c>
      <c r="G297" t="str">
        <f t="shared" ca="1" si="10"/>
        <v>Away</v>
      </c>
      <c r="H297" t="str">
        <f ca="1">IF(E297+最终结果!$G$8&gt;simulation!F297,"W","L")</f>
        <v>W</v>
      </c>
      <c r="I297" t="str">
        <f ca="1">IF(F297+最终结果!$G$12&gt;simulation!E297,"W","L")</f>
        <v>L</v>
      </c>
      <c r="J297" t="str">
        <f ca="1">IF((E297+F297)&gt;最终结果!$H$8,"Over","Under")</f>
        <v>Under</v>
      </c>
    </row>
    <row r="298" spans="3:10" x14ac:dyDescent="0.25">
      <c r="C298">
        <v>297</v>
      </c>
      <c r="D298" t="str">
        <f t="shared" ca="1" si="9"/>
        <v>-1</v>
      </c>
      <c r="E298">
        <f ca="1">ROUND(NORMINV(RAND(),最终结果!$I$8,最终结果!$E$8),0)</f>
        <v>104</v>
      </c>
      <c r="F298">
        <f ca="1">ROUND(NORMINV(RAND(),最终结果!$I$12,最终结果!$E$12),0)</f>
        <v>127</v>
      </c>
      <c r="G298" t="str">
        <f t="shared" ca="1" si="10"/>
        <v>Home</v>
      </c>
      <c r="H298" t="str">
        <f ca="1">IF(E298+最终结果!$G$8&gt;simulation!F298,"W","L")</f>
        <v>L</v>
      </c>
      <c r="I298" t="str">
        <f ca="1">IF(F298+最终结果!$G$12&gt;simulation!E298,"W","L")</f>
        <v>W</v>
      </c>
      <c r="J298" t="str">
        <f ca="1">IF((E298+F298)&gt;最终结果!$H$8,"Over","Under")</f>
        <v>Under</v>
      </c>
    </row>
    <row r="299" spans="3:10" x14ac:dyDescent="0.25">
      <c r="C299">
        <v>298</v>
      </c>
      <c r="D299" t="str">
        <f t="shared" ca="1" si="9"/>
        <v>-1</v>
      </c>
      <c r="E299">
        <f ca="1">ROUND(NORMINV(RAND(),最终结果!$I$8,最终结果!$E$8),0)</f>
        <v>96</v>
      </c>
      <c r="F299">
        <f ca="1">ROUND(NORMINV(RAND(),最终结果!$I$12,最终结果!$E$12),0)</f>
        <v>113</v>
      </c>
      <c r="G299" t="str">
        <f t="shared" ca="1" si="10"/>
        <v>Home</v>
      </c>
      <c r="H299" t="str">
        <f ca="1">IF(E299+最终结果!$G$8&gt;simulation!F299,"W","L")</f>
        <v>L</v>
      </c>
      <c r="I299" t="str">
        <f ca="1">IF(F299+最终结果!$G$12&gt;simulation!E299,"W","L")</f>
        <v>W</v>
      </c>
      <c r="J299" t="str">
        <f ca="1">IF((E299+F299)&gt;最终结果!$H$8,"Over","Under")</f>
        <v>Under</v>
      </c>
    </row>
    <row r="300" spans="3:10" x14ac:dyDescent="0.25">
      <c r="C300">
        <v>299</v>
      </c>
      <c r="D300" t="str">
        <f t="shared" ca="1" si="9"/>
        <v>-1</v>
      </c>
      <c r="E300">
        <f ca="1">ROUND(NORMINV(RAND(),最终结果!$I$8,最终结果!$E$8),0)</f>
        <v>123</v>
      </c>
      <c r="F300">
        <f ca="1">ROUND(NORMINV(RAND(),最终结果!$I$12,最终结果!$E$12),0)</f>
        <v>124</v>
      </c>
      <c r="G300" t="str">
        <f t="shared" ca="1" si="10"/>
        <v>Home</v>
      </c>
      <c r="H300" t="str">
        <f ca="1">IF(E300+最终结果!$G$8&gt;simulation!F300,"W","L")</f>
        <v>W</v>
      </c>
      <c r="I300" t="str">
        <f ca="1">IF(F300+最终结果!$G$12&gt;simulation!E300,"W","L")</f>
        <v>L</v>
      </c>
      <c r="J300" t="str">
        <f ca="1">IF((E300+F300)&gt;最终结果!$H$8,"Over","Under")</f>
        <v>Over</v>
      </c>
    </row>
    <row r="301" spans="3:10" x14ac:dyDescent="0.25">
      <c r="C301">
        <v>300</v>
      </c>
      <c r="D301" t="str">
        <f t="shared" ca="1" si="9"/>
        <v>1</v>
      </c>
      <c r="E301">
        <f ca="1">ROUND(NORMINV(RAND(),最终结果!$I$8,最终结果!$E$8),0)</f>
        <v>123</v>
      </c>
      <c r="F301">
        <f ca="1">ROUND(NORMINV(RAND(),最终结果!$I$12,最终结果!$E$12),0)</f>
        <v>111</v>
      </c>
      <c r="G301" t="str">
        <f t="shared" ca="1" si="10"/>
        <v>Away</v>
      </c>
      <c r="H301" t="str">
        <f ca="1">IF(E301+最终结果!$G$8&gt;simulation!F301,"W","L")</f>
        <v>W</v>
      </c>
      <c r="I301" t="str">
        <f ca="1">IF(F301+最终结果!$G$12&gt;simulation!E301,"W","L")</f>
        <v>L</v>
      </c>
      <c r="J301" t="str">
        <f ca="1">IF((E301+F301)&gt;最终结果!$H$8,"Over","Under")</f>
        <v>Under</v>
      </c>
    </row>
    <row r="302" spans="3:10" x14ac:dyDescent="0.25">
      <c r="C302">
        <v>301</v>
      </c>
      <c r="D302" t="str">
        <f t="shared" ca="1" si="9"/>
        <v>-1</v>
      </c>
      <c r="E302">
        <f ca="1">ROUND(NORMINV(RAND(),最终结果!$I$8,最终结果!$E$8),0)</f>
        <v>111</v>
      </c>
      <c r="F302">
        <f ca="1">ROUND(NORMINV(RAND(),最终结果!$I$12,最终结果!$E$12),0)</f>
        <v>118</v>
      </c>
      <c r="G302" t="str">
        <f t="shared" ca="1" si="10"/>
        <v>Home</v>
      </c>
      <c r="H302" t="str">
        <f ca="1">IF(E302+最终结果!$G$8&gt;simulation!F302,"W","L")</f>
        <v>L</v>
      </c>
      <c r="I302" t="str">
        <f ca="1">IF(F302+最终结果!$G$12&gt;simulation!E302,"W","L")</f>
        <v>W</v>
      </c>
      <c r="J302" t="str">
        <f ca="1">IF((E302+F302)&gt;最终结果!$H$8,"Over","Under")</f>
        <v>Under</v>
      </c>
    </row>
    <row r="303" spans="3:10" x14ac:dyDescent="0.25">
      <c r="C303">
        <v>302</v>
      </c>
      <c r="D303" t="str">
        <f t="shared" ca="1" si="9"/>
        <v>-1</v>
      </c>
      <c r="E303">
        <f ca="1">ROUND(NORMINV(RAND(),最终结果!$I$8,最终结果!$E$8),0)</f>
        <v>102</v>
      </c>
      <c r="F303">
        <f ca="1">ROUND(NORMINV(RAND(),最终结果!$I$12,最终结果!$E$12),0)</f>
        <v>110</v>
      </c>
      <c r="G303" t="str">
        <f t="shared" ca="1" si="10"/>
        <v>Home</v>
      </c>
      <c r="H303" t="str">
        <f ca="1">IF(E303+最终结果!$G$8&gt;simulation!F303,"W","L")</f>
        <v>L</v>
      </c>
      <c r="I303" t="str">
        <f ca="1">IF(F303+最终结果!$G$12&gt;simulation!E303,"W","L")</f>
        <v>W</v>
      </c>
      <c r="J303" t="str">
        <f ca="1">IF((E303+F303)&gt;最终结果!$H$8,"Over","Under")</f>
        <v>Under</v>
      </c>
    </row>
    <row r="304" spans="3:10" x14ac:dyDescent="0.25">
      <c r="C304">
        <v>303</v>
      </c>
      <c r="D304" t="str">
        <f t="shared" ca="1" si="9"/>
        <v>-1</v>
      </c>
      <c r="E304">
        <f ca="1">ROUND(NORMINV(RAND(),最终结果!$I$8,最终结果!$E$8),0)</f>
        <v>120</v>
      </c>
      <c r="F304">
        <f ca="1">ROUND(NORMINV(RAND(),最终结果!$I$12,最终结果!$E$12),0)</f>
        <v>123</v>
      </c>
      <c r="G304" t="str">
        <f t="shared" ca="1" si="10"/>
        <v>Home</v>
      </c>
      <c r="H304" t="str">
        <f ca="1">IF(E304+最终结果!$G$8&gt;simulation!F304,"W","L")</f>
        <v>L</v>
      </c>
      <c r="I304" t="str">
        <f ca="1">IF(F304+最终结果!$G$12&gt;simulation!E304,"W","L")</f>
        <v>L</v>
      </c>
      <c r="J304" t="str">
        <f ca="1">IF((E304+F304)&gt;最终结果!$H$8,"Over","Under")</f>
        <v>Over</v>
      </c>
    </row>
    <row r="305" spans="3:10" x14ac:dyDescent="0.25">
      <c r="C305">
        <v>304</v>
      </c>
      <c r="D305" t="str">
        <f t="shared" ca="1" si="9"/>
        <v>1</v>
      </c>
      <c r="E305">
        <f ca="1">ROUND(NORMINV(RAND(),最终结果!$I$8,最终结果!$E$8),0)</f>
        <v>106</v>
      </c>
      <c r="F305">
        <f ca="1">ROUND(NORMINV(RAND(),最终结果!$I$12,最终结果!$E$12),0)</f>
        <v>100</v>
      </c>
      <c r="G305" t="str">
        <f t="shared" ca="1" si="10"/>
        <v>Away</v>
      </c>
      <c r="H305" t="str">
        <f ca="1">IF(E305+最终结果!$G$8&gt;simulation!F305,"W","L")</f>
        <v>W</v>
      </c>
      <c r="I305" t="str">
        <f ca="1">IF(F305+最终结果!$G$12&gt;simulation!E305,"W","L")</f>
        <v>L</v>
      </c>
      <c r="J305" t="str">
        <f ca="1">IF((E305+F305)&gt;最终结果!$H$8,"Over","Under")</f>
        <v>Under</v>
      </c>
    </row>
    <row r="306" spans="3:10" x14ac:dyDescent="0.25">
      <c r="C306">
        <v>305</v>
      </c>
      <c r="D306" t="str">
        <f t="shared" ca="1" si="9"/>
        <v>1</v>
      </c>
      <c r="E306">
        <f ca="1">ROUND(NORMINV(RAND(),最终结果!$I$8,最终结果!$E$8),0)</f>
        <v>130</v>
      </c>
      <c r="F306">
        <f ca="1">ROUND(NORMINV(RAND(),最终结果!$I$12,最终结果!$E$12),0)</f>
        <v>112</v>
      </c>
      <c r="G306" t="str">
        <f t="shared" ca="1" si="10"/>
        <v>Away</v>
      </c>
      <c r="H306" t="str">
        <f ca="1">IF(E306+最终结果!$G$8&gt;simulation!F306,"W","L")</f>
        <v>W</v>
      </c>
      <c r="I306" t="str">
        <f ca="1">IF(F306+最终结果!$G$12&gt;simulation!E306,"W","L")</f>
        <v>L</v>
      </c>
      <c r="J306" t="str">
        <f ca="1">IF((E306+F306)&gt;最终结果!$H$8,"Over","Under")</f>
        <v>Over</v>
      </c>
    </row>
    <row r="307" spans="3:10" x14ac:dyDescent="0.25">
      <c r="C307">
        <v>306</v>
      </c>
      <c r="D307" t="str">
        <f t="shared" ca="1" si="9"/>
        <v>-1</v>
      </c>
      <c r="E307">
        <f ca="1">ROUND(NORMINV(RAND(),最终结果!$I$8,最终结果!$E$8),0)</f>
        <v>117</v>
      </c>
      <c r="F307">
        <f ca="1">ROUND(NORMINV(RAND(),最终结果!$I$12,最终结果!$E$12),0)</f>
        <v>122</v>
      </c>
      <c r="G307" t="str">
        <f t="shared" ca="1" si="10"/>
        <v>Home</v>
      </c>
      <c r="H307" t="str">
        <f ca="1">IF(E307+最终结果!$G$8&gt;simulation!F307,"W","L")</f>
        <v>L</v>
      </c>
      <c r="I307" t="str">
        <f ca="1">IF(F307+最终结果!$G$12&gt;simulation!E307,"W","L")</f>
        <v>W</v>
      </c>
      <c r="J307" t="str">
        <f ca="1">IF((E307+F307)&gt;最终结果!$H$8,"Over","Under")</f>
        <v>Over</v>
      </c>
    </row>
    <row r="308" spans="3:10" x14ac:dyDescent="0.25">
      <c r="C308">
        <v>307</v>
      </c>
      <c r="D308" t="str">
        <f t="shared" ca="1" si="9"/>
        <v>-1</v>
      </c>
      <c r="E308">
        <f ca="1">ROUND(NORMINV(RAND(),最终结果!$I$8,最终结果!$E$8),0)</f>
        <v>103</v>
      </c>
      <c r="F308">
        <f ca="1">ROUND(NORMINV(RAND(),最终结果!$I$12,最终结果!$E$12),0)</f>
        <v>134</v>
      </c>
      <c r="G308" t="str">
        <f t="shared" ca="1" si="10"/>
        <v>Home</v>
      </c>
      <c r="H308" t="str">
        <f ca="1">IF(E308+最终结果!$G$8&gt;simulation!F308,"W","L")</f>
        <v>L</v>
      </c>
      <c r="I308" t="str">
        <f ca="1">IF(F308+最终结果!$G$12&gt;simulation!E308,"W","L")</f>
        <v>W</v>
      </c>
      <c r="J308" t="str">
        <f ca="1">IF((E308+F308)&gt;最终结果!$H$8,"Over","Under")</f>
        <v>Under</v>
      </c>
    </row>
    <row r="309" spans="3:10" x14ac:dyDescent="0.25">
      <c r="C309">
        <v>308</v>
      </c>
      <c r="D309" t="str">
        <f t="shared" ca="1" si="9"/>
        <v>1</v>
      </c>
      <c r="E309">
        <f ca="1">ROUND(NORMINV(RAND(),最终结果!$I$8,最终结果!$E$8),0)</f>
        <v>126</v>
      </c>
      <c r="F309">
        <f ca="1">ROUND(NORMINV(RAND(),最终结果!$I$12,最终结果!$E$12),0)</f>
        <v>88</v>
      </c>
      <c r="G309" t="str">
        <f t="shared" ca="1" si="10"/>
        <v>Away</v>
      </c>
      <c r="H309" t="str">
        <f ca="1">IF(E309+最终结果!$G$8&gt;simulation!F309,"W","L")</f>
        <v>W</v>
      </c>
      <c r="I309" t="str">
        <f ca="1">IF(F309+最终结果!$G$12&gt;simulation!E309,"W","L")</f>
        <v>L</v>
      </c>
      <c r="J309" t="str">
        <f ca="1">IF((E309+F309)&gt;最终结果!$H$8,"Over","Under")</f>
        <v>Under</v>
      </c>
    </row>
    <row r="310" spans="3:10" x14ac:dyDescent="0.25">
      <c r="C310">
        <v>309</v>
      </c>
      <c r="D310" t="str">
        <f t="shared" ca="1" si="9"/>
        <v>-1</v>
      </c>
      <c r="E310">
        <f ca="1">ROUND(NORMINV(RAND(),最终结果!$I$8,最终结果!$E$8),0)</f>
        <v>104</v>
      </c>
      <c r="F310">
        <f ca="1">ROUND(NORMINV(RAND(),最终结果!$I$12,最终结果!$E$12),0)</f>
        <v>112</v>
      </c>
      <c r="G310" t="str">
        <f t="shared" ca="1" si="10"/>
        <v>Home</v>
      </c>
      <c r="H310" t="str">
        <f ca="1">IF(E310+最终结果!$G$8&gt;simulation!F310,"W","L")</f>
        <v>L</v>
      </c>
      <c r="I310" t="str">
        <f ca="1">IF(F310+最终结果!$G$12&gt;simulation!E310,"W","L")</f>
        <v>W</v>
      </c>
      <c r="J310" t="str">
        <f ca="1">IF((E310+F310)&gt;最终结果!$H$8,"Over","Under")</f>
        <v>Under</v>
      </c>
    </row>
    <row r="311" spans="3:10" x14ac:dyDescent="0.25">
      <c r="C311">
        <v>310</v>
      </c>
      <c r="D311" t="str">
        <f t="shared" ca="1" si="9"/>
        <v>-1</v>
      </c>
      <c r="E311">
        <f ca="1">ROUND(NORMINV(RAND(),最终结果!$I$8,最终结果!$E$8),0)</f>
        <v>86</v>
      </c>
      <c r="F311">
        <f ca="1">ROUND(NORMINV(RAND(),最终结果!$I$12,最终结果!$E$12),0)</f>
        <v>98</v>
      </c>
      <c r="G311" t="str">
        <f t="shared" ca="1" si="10"/>
        <v>Home</v>
      </c>
      <c r="H311" t="str">
        <f ca="1">IF(E311+最终结果!$G$8&gt;simulation!F311,"W","L")</f>
        <v>L</v>
      </c>
      <c r="I311" t="str">
        <f ca="1">IF(F311+最终结果!$G$12&gt;simulation!E311,"W","L")</f>
        <v>W</v>
      </c>
      <c r="J311" t="str">
        <f ca="1">IF((E311+F311)&gt;最终结果!$H$8,"Over","Under")</f>
        <v>Under</v>
      </c>
    </row>
    <row r="312" spans="3:10" x14ac:dyDescent="0.25">
      <c r="C312">
        <v>311</v>
      </c>
      <c r="D312" t="str">
        <f t="shared" ca="1" si="9"/>
        <v>1</v>
      </c>
      <c r="E312">
        <f ca="1">ROUND(NORMINV(RAND(),最终结果!$I$8,最终结果!$E$8),0)</f>
        <v>134</v>
      </c>
      <c r="F312">
        <f ca="1">ROUND(NORMINV(RAND(),最终结果!$I$12,最终结果!$E$12),0)</f>
        <v>127</v>
      </c>
      <c r="G312" t="str">
        <f t="shared" ca="1" si="10"/>
        <v>Away</v>
      </c>
      <c r="H312" t="str">
        <f ca="1">IF(E312+最终结果!$G$8&gt;simulation!F312,"W","L")</f>
        <v>W</v>
      </c>
      <c r="I312" t="str">
        <f ca="1">IF(F312+最终结果!$G$12&gt;simulation!E312,"W","L")</f>
        <v>L</v>
      </c>
      <c r="J312" t="str">
        <f ca="1">IF((E312+F312)&gt;最终结果!$H$8,"Over","Under")</f>
        <v>Over</v>
      </c>
    </row>
    <row r="313" spans="3:10" x14ac:dyDescent="0.25">
      <c r="C313">
        <v>312</v>
      </c>
      <c r="D313" t="str">
        <f t="shared" ca="1" si="9"/>
        <v>1</v>
      </c>
      <c r="E313">
        <f ca="1">ROUND(NORMINV(RAND(),最终结果!$I$8,最终结果!$E$8),0)</f>
        <v>129</v>
      </c>
      <c r="F313">
        <f ca="1">ROUND(NORMINV(RAND(),最终结果!$I$12,最终结果!$E$12),0)</f>
        <v>88</v>
      </c>
      <c r="G313" t="str">
        <f t="shared" ca="1" si="10"/>
        <v>Away</v>
      </c>
      <c r="H313" t="str">
        <f ca="1">IF(E313+最终结果!$G$8&gt;simulation!F313,"W","L")</f>
        <v>W</v>
      </c>
      <c r="I313" t="str">
        <f ca="1">IF(F313+最终结果!$G$12&gt;simulation!E313,"W","L")</f>
        <v>L</v>
      </c>
      <c r="J313" t="str">
        <f ca="1">IF((E313+F313)&gt;最终结果!$H$8,"Over","Under")</f>
        <v>Under</v>
      </c>
    </row>
    <row r="314" spans="3:10" x14ac:dyDescent="0.25">
      <c r="C314">
        <v>313</v>
      </c>
      <c r="D314" t="str">
        <f t="shared" ca="1" si="9"/>
        <v>1</v>
      </c>
      <c r="E314">
        <f ca="1">ROUND(NORMINV(RAND(),最终结果!$I$8,最终结果!$E$8),0)</f>
        <v>128</v>
      </c>
      <c r="F314">
        <f ca="1">ROUND(NORMINV(RAND(),最终结果!$I$12,最终结果!$E$12),0)</f>
        <v>125</v>
      </c>
      <c r="G314" t="str">
        <f t="shared" ca="1" si="10"/>
        <v>Away</v>
      </c>
      <c r="H314" t="str">
        <f ca="1">IF(E314+最终结果!$G$8&gt;simulation!F314,"W","L")</f>
        <v>W</v>
      </c>
      <c r="I314" t="str">
        <f ca="1">IF(F314+最终结果!$G$12&gt;simulation!E314,"W","L")</f>
        <v>L</v>
      </c>
      <c r="J314" t="str">
        <f ca="1">IF((E314+F314)&gt;最终结果!$H$8,"Over","Under")</f>
        <v>Over</v>
      </c>
    </row>
    <row r="315" spans="3:10" x14ac:dyDescent="0.25">
      <c r="C315">
        <v>314</v>
      </c>
      <c r="D315" t="str">
        <f t="shared" ca="1" si="9"/>
        <v>-1</v>
      </c>
      <c r="E315">
        <f ca="1">ROUND(NORMINV(RAND(),最终结果!$I$8,最终结果!$E$8),0)</f>
        <v>89</v>
      </c>
      <c r="F315">
        <f ca="1">ROUND(NORMINV(RAND(),最终结果!$I$12,最终结果!$E$12),0)</f>
        <v>128</v>
      </c>
      <c r="G315" t="str">
        <f t="shared" ca="1" si="10"/>
        <v>Home</v>
      </c>
      <c r="H315" t="str">
        <f ca="1">IF(E315+最终结果!$G$8&gt;simulation!F315,"W","L")</f>
        <v>L</v>
      </c>
      <c r="I315" t="str">
        <f ca="1">IF(F315+最终结果!$G$12&gt;simulation!E315,"W","L")</f>
        <v>W</v>
      </c>
      <c r="J315" t="str">
        <f ca="1">IF((E315+F315)&gt;最终结果!$H$8,"Over","Under")</f>
        <v>Under</v>
      </c>
    </row>
    <row r="316" spans="3:10" x14ac:dyDescent="0.25">
      <c r="C316">
        <v>315</v>
      </c>
      <c r="D316" t="str">
        <f t="shared" ca="1" si="9"/>
        <v>1</v>
      </c>
      <c r="E316">
        <f ca="1">ROUND(NORMINV(RAND(),最终结果!$I$8,最终结果!$E$8),0)</f>
        <v>121</v>
      </c>
      <c r="F316">
        <f ca="1">ROUND(NORMINV(RAND(),最终结果!$I$12,最终结果!$E$12),0)</f>
        <v>103</v>
      </c>
      <c r="G316" t="str">
        <f t="shared" ca="1" si="10"/>
        <v>Away</v>
      </c>
      <c r="H316" t="str">
        <f ca="1">IF(E316+最终结果!$G$8&gt;simulation!F316,"W","L")</f>
        <v>W</v>
      </c>
      <c r="I316" t="str">
        <f ca="1">IF(F316+最终结果!$G$12&gt;simulation!E316,"W","L")</f>
        <v>L</v>
      </c>
      <c r="J316" t="str">
        <f ca="1">IF((E316+F316)&gt;最终结果!$H$8,"Over","Under")</f>
        <v>Under</v>
      </c>
    </row>
    <row r="317" spans="3:10" x14ac:dyDescent="0.25">
      <c r="C317">
        <v>316</v>
      </c>
      <c r="D317" t="str">
        <f t="shared" ca="1" si="9"/>
        <v>-1</v>
      </c>
      <c r="E317">
        <f ca="1">ROUND(NORMINV(RAND(),最终结果!$I$8,最终结果!$E$8),0)</f>
        <v>98</v>
      </c>
      <c r="F317">
        <f ca="1">ROUND(NORMINV(RAND(),最终结果!$I$12,最终结果!$E$12),0)</f>
        <v>132</v>
      </c>
      <c r="G317" t="str">
        <f t="shared" ca="1" si="10"/>
        <v>Home</v>
      </c>
      <c r="H317" t="str">
        <f ca="1">IF(E317+最终结果!$G$8&gt;simulation!F317,"W","L")</f>
        <v>L</v>
      </c>
      <c r="I317" t="str">
        <f ca="1">IF(F317+最终结果!$G$12&gt;simulation!E317,"W","L")</f>
        <v>W</v>
      </c>
      <c r="J317" t="str">
        <f ca="1">IF((E317+F317)&gt;最终结果!$H$8,"Over","Under")</f>
        <v>Under</v>
      </c>
    </row>
    <row r="318" spans="3:10" x14ac:dyDescent="0.25">
      <c r="C318">
        <v>317</v>
      </c>
      <c r="D318" t="str">
        <f t="shared" ca="1" si="9"/>
        <v>-1</v>
      </c>
      <c r="E318">
        <f ca="1">ROUND(NORMINV(RAND(),最终结果!$I$8,最终结果!$E$8),0)</f>
        <v>109</v>
      </c>
      <c r="F318">
        <f ca="1">ROUND(NORMINV(RAND(),最终结果!$I$12,最终结果!$E$12),0)</f>
        <v>130</v>
      </c>
      <c r="G318" t="str">
        <f t="shared" ca="1" si="10"/>
        <v>Home</v>
      </c>
      <c r="H318" t="str">
        <f ca="1">IF(E318+最终结果!$G$8&gt;simulation!F318,"W","L")</f>
        <v>L</v>
      </c>
      <c r="I318" t="str">
        <f ca="1">IF(F318+最终结果!$G$12&gt;simulation!E318,"W","L")</f>
        <v>W</v>
      </c>
      <c r="J318" t="str">
        <f ca="1">IF((E318+F318)&gt;最终结果!$H$8,"Over","Under")</f>
        <v>Over</v>
      </c>
    </row>
    <row r="319" spans="3:10" x14ac:dyDescent="0.25">
      <c r="C319">
        <v>318</v>
      </c>
      <c r="D319" t="str">
        <f t="shared" ca="1" si="9"/>
        <v>1</v>
      </c>
      <c r="E319">
        <f ca="1">ROUND(NORMINV(RAND(),最终结果!$I$8,最终结果!$E$8),0)</f>
        <v>116</v>
      </c>
      <c r="F319">
        <f ca="1">ROUND(NORMINV(RAND(),最终结果!$I$12,最终结果!$E$12),0)</f>
        <v>105</v>
      </c>
      <c r="G319" t="str">
        <f t="shared" ca="1" si="10"/>
        <v>Away</v>
      </c>
      <c r="H319" t="str">
        <f ca="1">IF(E319+最终结果!$G$8&gt;simulation!F319,"W","L")</f>
        <v>W</v>
      </c>
      <c r="I319" t="str">
        <f ca="1">IF(F319+最终结果!$G$12&gt;simulation!E319,"W","L")</f>
        <v>L</v>
      </c>
      <c r="J319" t="str">
        <f ca="1">IF((E319+F319)&gt;最终结果!$H$8,"Over","Under")</f>
        <v>Under</v>
      </c>
    </row>
    <row r="320" spans="3:10" x14ac:dyDescent="0.25">
      <c r="C320">
        <v>319</v>
      </c>
      <c r="D320" t="str">
        <f t="shared" ca="1" si="9"/>
        <v>1</v>
      </c>
      <c r="E320">
        <f ca="1">ROUND(NORMINV(RAND(),最终结果!$I$8,最终结果!$E$8),0)</f>
        <v>115</v>
      </c>
      <c r="F320">
        <f ca="1">ROUND(NORMINV(RAND(),最终结果!$I$12,最终结果!$E$12),0)</f>
        <v>108</v>
      </c>
      <c r="G320" t="str">
        <f t="shared" ca="1" si="10"/>
        <v>Away</v>
      </c>
      <c r="H320" t="str">
        <f ca="1">IF(E320+最终结果!$G$8&gt;simulation!F320,"W","L")</f>
        <v>W</v>
      </c>
      <c r="I320" t="str">
        <f ca="1">IF(F320+最终结果!$G$12&gt;simulation!E320,"W","L")</f>
        <v>L</v>
      </c>
      <c r="J320" t="str">
        <f ca="1">IF((E320+F320)&gt;最终结果!$H$8,"Over","Under")</f>
        <v>Under</v>
      </c>
    </row>
    <row r="321" spans="3:10" x14ac:dyDescent="0.25">
      <c r="C321">
        <v>320</v>
      </c>
      <c r="D321" t="str">
        <f t="shared" ca="1" si="9"/>
        <v>1</v>
      </c>
      <c r="E321">
        <f ca="1">ROUND(NORMINV(RAND(),最终结果!$I$8,最终结果!$E$8),0)</f>
        <v>112</v>
      </c>
      <c r="F321">
        <f ca="1">ROUND(NORMINV(RAND(),最终结果!$I$12,最终结果!$E$12),0)</f>
        <v>110</v>
      </c>
      <c r="G321" t="str">
        <f t="shared" ca="1" si="10"/>
        <v>Away</v>
      </c>
      <c r="H321" t="str">
        <f ca="1">IF(E321+最终结果!$G$8&gt;simulation!F321,"W","L")</f>
        <v>W</v>
      </c>
      <c r="I321" t="str">
        <f ca="1">IF(F321+最终结果!$G$12&gt;simulation!E321,"W","L")</f>
        <v>L</v>
      </c>
      <c r="J321" t="str">
        <f ca="1">IF((E321+F321)&gt;最终结果!$H$8,"Over","Under")</f>
        <v>Under</v>
      </c>
    </row>
    <row r="322" spans="3:10" x14ac:dyDescent="0.25">
      <c r="C322">
        <v>321</v>
      </c>
      <c r="D322" t="str">
        <f t="shared" ca="1" si="9"/>
        <v>-1</v>
      </c>
      <c r="E322">
        <f ca="1">ROUND(NORMINV(RAND(),最终结果!$I$8,最终结果!$E$8),0)</f>
        <v>98</v>
      </c>
      <c r="F322">
        <f ca="1">ROUND(NORMINV(RAND(),最终结果!$I$12,最终结果!$E$12),0)</f>
        <v>109</v>
      </c>
      <c r="G322" t="str">
        <f t="shared" ca="1" si="10"/>
        <v>Home</v>
      </c>
      <c r="H322" t="str">
        <f ca="1">IF(E322+最终结果!$G$8&gt;simulation!F322,"W","L")</f>
        <v>L</v>
      </c>
      <c r="I322" t="str">
        <f ca="1">IF(F322+最终结果!$G$12&gt;simulation!E322,"W","L")</f>
        <v>W</v>
      </c>
      <c r="J322" t="str">
        <f ca="1">IF((E322+F322)&gt;最终结果!$H$8,"Over","Under")</f>
        <v>Under</v>
      </c>
    </row>
    <row r="323" spans="3:10" x14ac:dyDescent="0.25">
      <c r="C323">
        <v>322</v>
      </c>
      <c r="D323" t="str">
        <f t="shared" ref="D323:D386" ca="1" si="11">IF(E323=F323,0,IF(E323&gt;F323,"1","-1"))</f>
        <v>1</v>
      </c>
      <c r="E323">
        <f ca="1">ROUND(NORMINV(RAND(),最终结果!$I$8,最终结果!$E$8),0)</f>
        <v>112</v>
      </c>
      <c r="F323">
        <f ca="1">ROUND(NORMINV(RAND(),最终结果!$I$12,最终结果!$E$12),0)</f>
        <v>111</v>
      </c>
      <c r="G323" t="str">
        <f t="shared" ca="1" si="10"/>
        <v>Away</v>
      </c>
      <c r="H323" t="str">
        <f ca="1">IF(E323+最终结果!$G$8&gt;simulation!F323,"W","L")</f>
        <v>W</v>
      </c>
      <c r="I323" t="str">
        <f ca="1">IF(F323+最终结果!$G$12&gt;simulation!E323,"W","L")</f>
        <v>L</v>
      </c>
      <c r="J323" t="str">
        <f ca="1">IF((E323+F323)&gt;最终结果!$H$8,"Over","Under")</f>
        <v>Under</v>
      </c>
    </row>
    <row r="324" spans="3:10" x14ac:dyDescent="0.25">
      <c r="C324">
        <v>323</v>
      </c>
      <c r="D324" t="str">
        <f t="shared" ca="1" si="11"/>
        <v>1</v>
      </c>
      <c r="E324">
        <f ca="1">ROUND(NORMINV(RAND(),最终结果!$I$8,最终结果!$E$8),0)</f>
        <v>119</v>
      </c>
      <c r="F324">
        <f ca="1">ROUND(NORMINV(RAND(),最终结果!$I$12,最终结果!$E$12),0)</f>
        <v>115</v>
      </c>
      <c r="G324" t="str">
        <f t="shared" ca="1" si="10"/>
        <v>Away</v>
      </c>
      <c r="H324" t="str">
        <f ca="1">IF(E324+最终结果!$G$8&gt;simulation!F324,"W","L")</f>
        <v>W</v>
      </c>
      <c r="I324" t="str">
        <f ca="1">IF(F324+最终结果!$G$12&gt;simulation!E324,"W","L")</f>
        <v>L</v>
      </c>
      <c r="J324" t="str">
        <f ca="1">IF((E324+F324)&gt;最终结果!$H$8,"Over","Under")</f>
        <v>Under</v>
      </c>
    </row>
    <row r="325" spans="3:10" x14ac:dyDescent="0.25">
      <c r="C325">
        <v>324</v>
      </c>
      <c r="D325" t="str">
        <f t="shared" ca="1" si="11"/>
        <v>-1</v>
      </c>
      <c r="E325">
        <f ca="1">ROUND(NORMINV(RAND(),最终结果!$I$8,最终结果!$E$8),0)</f>
        <v>95</v>
      </c>
      <c r="F325">
        <f ca="1">ROUND(NORMINV(RAND(),最终结果!$I$12,最终结果!$E$12),0)</f>
        <v>96</v>
      </c>
      <c r="G325" t="str">
        <f t="shared" ca="1" si="10"/>
        <v>Home</v>
      </c>
      <c r="H325" t="str">
        <f ca="1">IF(E325+最终结果!$G$8&gt;simulation!F325,"W","L")</f>
        <v>W</v>
      </c>
      <c r="I325" t="str">
        <f ca="1">IF(F325+最终结果!$G$12&gt;simulation!E325,"W","L")</f>
        <v>L</v>
      </c>
      <c r="J325" t="str">
        <f ca="1">IF((E325+F325)&gt;最终结果!$H$8,"Over","Under")</f>
        <v>Under</v>
      </c>
    </row>
    <row r="326" spans="3:10" x14ac:dyDescent="0.25">
      <c r="C326">
        <v>325</v>
      </c>
      <c r="D326" t="str">
        <f t="shared" ca="1" si="11"/>
        <v>-1</v>
      </c>
      <c r="E326">
        <f ca="1">ROUND(NORMINV(RAND(),最终结果!$I$8,最终结果!$E$8),0)</f>
        <v>84</v>
      </c>
      <c r="F326">
        <f ca="1">ROUND(NORMINV(RAND(),最终结果!$I$12,最终结果!$E$12),0)</f>
        <v>119</v>
      </c>
      <c r="G326" t="str">
        <f t="shared" ca="1" si="10"/>
        <v>Home</v>
      </c>
      <c r="H326" t="str">
        <f ca="1">IF(E326+最终结果!$G$8&gt;simulation!F326,"W","L")</f>
        <v>L</v>
      </c>
      <c r="I326" t="str">
        <f ca="1">IF(F326+最终结果!$G$12&gt;simulation!E326,"W","L")</f>
        <v>W</v>
      </c>
      <c r="J326" t="str">
        <f ca="1">IF((E326+F326)&gt;最终结果!$H$8,"Over","Under")</f>
        <v>Under</v>
      </c>
    </row>
    <row r="327" spans="3:10" x14ac:dyDescent="0.25">
      <c r="C327">
        <v>326</v>
      </c>
      <c r="D327" t="str">
        <f t="shared" ca="1" si="11"/>
        <v>-1</v>
      </c>
      <c r="E327">
        <f ca="1">ROUND(NORMINV(RAND(),最终结果!$I$8,最终结果!$E$8),0)</f>
        <v>117</v>
      </c>
      <c r="F327">
        <f ca="1">ROUND(NORMINV(RAND(),最终结果!$I$12,最终结果!$E$12),0)</f>
        <v>133</v>
      </c>
      <c r="G327" t="str">
        <f t="shared" ca="1" si="10"/>
        <v>Home</v>
      </c>
      <c r="H327" t="str">
        <f ca="1">IF(E327+最终结果!$G$8&gt;simulation!F327,"W","L")</f>
        <v>L</v>
      </c>
      <c r="I327" t="str">
        <f ca="1">IF(F327+最终结果!$G$12&gt;simulation!E327,"W","L")</f>
        <v>W</v>
      </c>
      <c r="J327" t="str">
        <f ca="1">IF((E327+F327)&gt;最终结果!$H$8,"Over","Under")</f>
        <v>Over</v>
      </c>
    </row>
    <row r="328" spans="3:10" x14ac:dyDescent="0.25">
      <c r="C328">
        <v>327</v>
      </c>
      <c r="D328" t="str">
        <f t="shared" ca="1" si="11"/>
        <v>-1</v>
      </c>
      <c r="E328">
        <f ca="1">ROUND(NORMINV(RAND(),最终结果!$I$8,最终结果!$E$8),0)</f>
        <v>125</v>
      </c>
      <c r="F328">
        <f ca="1">ROUND(NORMINV(RAND(),最终结果!$I$12,最终结果!$E$12),0)</f>
        <v>137</v>
      </c>
      <c r="G328" t="str">
        <f t="shared" ca="1" si="10"/>
        <v>Home</v>
      </c>
      <c r="H328" t="str">
        <f ca="1">IF(E328+最终结果!$G$8&gt;simulation!F328,"W","L")</f>
        <v>L</v>
      </c>
      <c r="I328" t="str">
        <f ca="1">IF(F328+最终结果!$G$12&gt;simulation!E328,"W","L")</f>
        <v>W</v>
      </c>
      <c r="J328" t="str">
        <f ca="1">IF((E328+F328)&gt;最终结果!$H$8,"Over","Under")</f>
        <v>Over</v>
      </c>
    </row>
    <row r="329" spans="3:10" x14ac:dyDescent="0.25">
      <c r="C329">
        <v>328</v>
      </c>
      <c r="D329" t="str">
        <f t="shared" ca="1" si="11"/>
        <v>1</v>
      </c>
      <c r="E329">
        <f ca="1">ROUND(NORMINV(RAND(),最终结果!$I$8,最终结果!$E$8),0)</f>
        <v>111</v>
      </c>
      <c r="F329">
        <f ca="1">ROUND(NORMINV(RAND(),最终结果!$I$12,最终结果!$E$12),0)</f>
        <v>102</v>
      </c>
      <c r="G329" t="str">
        <f t="shared" ca="1" si="10"/>
        <v>Away</v>
      </c>
      <c r="H329" t="str">
        <f ca="1">IF(E329+最终结果!$G$8&gt;simulation!F329,"W","L")</f>
        <v>W</v>
      </c>
      <c r="I329" t="str">
        <f ca="1">IF(F329+最终结果!$G$12&gt;simulation!E329,"W","L")</f>
        <v>L</v>
      </c>
      <c r="J329" t="str">
        <f ca="1">IF((E329+F329)&gt;最终结果!$H$8,"Over","Under")</f>
        <v>Under</v>
      </c>
    </row>
    <row r="330" spans="3:10" x14ac:dyDescent="0.25">
      <c r="C330">
        <v>329</v>
      </c>
      <c r="D330" t="str">
        <f t="shared" ca="1" si="11"/>
        <v>-1</v>
      </c>
      <c r="E330">
        <f ca="1">ROUND(NORMINV(RAND(),最终结果!$I$8,最终结果!$E$8),0)</f>
        <v>120</v>
      </c>
      <c r="F330">
        <f ca="1">ROUND(NORMINV(RAND(),最终结果!$I$12,最终结果!$E$12),0)</f>
        <v>142</v>
      </c>
      <c r="G330" t="str">
        <f t="shared" ca="1" si="10"/>
        <v>Home</v>
      </c>
      <c r="H330" t="str">
        <f ca="1">IF(E330+最终结果!$G$8&gt;simulation!F330,"W","L")</f>
        <v>L</v>
      </c>
      <c r="I330" t="str">
        <f ca="1">IF(F330+最终结果!$G$12&gt;simulation!E330,"W","L")</f>
        <v>W</v>
      </c>
      <c r="J330" t="str">
        <f ca="1">IF((E330+F330)&gt;最终结果!$H$8,"Over","Under")</f>
        <v>Over</v>
      </c>
    </row>
    <row r="331" spans="3:10" x14ac:dyDescent="0.25">
      <c r="C331">
        <v>330</v>
      </c>
      <c r="D331" t="str">
        <f t="shared" ca="1" si="11"/>
        <v>-1</v>
      </c>
      <c r="E331">
        <f ca="1">ROUND(NORMINV(RAND(),最终结果!$I$8,最终结果!$E$8),0)</f>
        <v>101</v>
      </c>
      <c r="F331">
        <f ca="1">ROUND(NORMINV(RAND(),最终结果!$I$12,最终结果!$E$12),0)</f>
        <v>135</v>
      </c>
      <c r="G331" t="str">
        <f t="shared" ca="1" si="10"/>
        <v>Home</v>
      </c>
      <c r="H331" t="str">
        <f ca="1">IF(E331+最终结果!$G$8&gt;simulation!F331,"W","L")</f>
        <v>L</v>
      </c>
      <c r="I331" t="str">
        <f ca="1">IF(F331+最终结果!$G$12&gt;simulation!E331,"W","L")</f>
        <v>W</v>
      </c>
      <c r="J331" t="str">
        <f ca="1">IF((E331+F331)&gt;最终结果!$H$8,"Over","Under")</f>
        <v>Under</v>
      </c>
    </row>
    <row r="332" spans="3:10" x14ac:dyDescent="0.25">
      <c r="C332">
        <v>331</v>
      </c>
      <c r="D332" t="str">
        <f t="shared" ca="1" si="11"/>
        <v>1</v>
      </c>
      <c r="E332">
        <f ca="1">ROUND(NORMINV(RAND(),最终结果!$I$8,最终结果!$E$8),0)</f>
        <v>108</v>
      </c>
      <c r="F332">
        <f ca="1">ROUND(NORMINV(RAND(),最终结果!$I$12,最终结果!$E$12),0)</f>
        <v>104</v>
      </c>
      <c r="G332" t="str">
        <f t="shared" ca="1" si="10"/>
        <v>Away</v>
      </c>
      <c r="H332" t="str">
        <f ca="1">IF(E332+最终结果!$G$8&gt;simulation!F332,"W","L")</f>
        <v>W</v>
      </c>
      <c r="I332" t="str">
        <f ca="1">IF(F332+最终结果!$G$12&gt;simulation!E332,"W","L")</f>
        <v>L</v>
      </c>
      <c r="J332" t="str">
        <f ca="1">IF((E332+F332)&gt;最终结果!$H$8,"Over","Under")</f>
        <v>Under</v>
      </c>
    </row>
    <row r="333" spans="3:10" x14ac:dyDescent="0.25">
      <c r="C333">
        <v>332</v>
      </c>
      <c r="D333" t="str">
        <f t="shared" ca="1" si="11"/>
        <v>1</v>
      </c>
      <c r="E333">
        <f ca="1">ROUND(NORMINV(RAND(),最终结果!$I$8,最终结果!$E$8),0)</f>
        <v>112</v>
      </c>
      <c r="F333">
        <f ca="1">ROUND(NORMINV(RAND(),最终结果!$I$12,最终结果!$E$12),0)</f>
        <v>111</v>
      </c>
      <c r="G333" t="str">
        <f t="shared" ca="1" si="10"/>
        <v>Away</v>
      </c>
      <c r="H333" t="str">
        <f ca="1">IF(E333+最终结果!$G$8&gt;simulation!F333,"W","L")</f>
        <v>W</v>
      </c>
      <c r="I333" t="str">
        <f ca="1">IF(F333+最终结果!$G$12&gt;simulation!E333,"W","L")</f>
        <v>L</v>
      </c>
      <c r="J333" t="str">
        <f ca="1">IF((E333+F333)&gt;最终结果!$H$8,"Over","Under")</f>
        <v>Under</v>
      </c>
    </row>
    <row r="334" spans="3:10" x14ac:dyDescent="0.25">
      <c r="C334">
        <v>333</v>
      </c>
      <c r="D334" t="str">
        <f t="shared" ca="1" si="11"/>
        <v>-1</v>
      </c>
      <c r="E334">
        <f ca="1">ROUND(NORMINV(RAND(),最终结果!$I$8,最终结果!$E$8),0)</f>
        <v>89</v>
      </c>
      <c r="F334">
        <f ca="1">ROUND(NORMINV(RAND(),最终结果!$I$12,最终结果!$E$12),0)</f>
        <v>105</v>
      </c>
      <c r="G334" t="str">
        <f t="shared" ref="G334:G397" ca="1" si="12">IF(E334=F334,"OT",IF(E334&gt;F334,"Away","Home"))</f>
        <v>Home</v>
      </c>
      <c r="H334" t="str">
        <f ca="1">IF(E334+最终结果!$G$8&gt;simulation!F334,"W","L")</f>
        <v>L</v>
      </c>
      <c r="I334" t="str">
        <f ca="1">IF(F334+最终结果!$G$12&gt;simulation!E334,"W","L")</f>
        <v>W</v>
      </c>
      <c r="J334" t="str">
        <f ca="1">IF((E334+F334)&gt;最终结果!$H$8,"Over","Under")</f>
        <v>Under</v>
      </c>
    </row>
    <row r="335" spans="3:10" x14ac:dyDescent="0.25">
      <c r="C335">
        <v>334</v>
      </c>
      <c r="D335" t="str">
        <f t="shared" ca="1" si="11"/>
        <v>1</v>
      </c>
      <c r="E335">
        <f ca="1">ROUND(NORMINV(RAND(),最终结果!$I$8,最终结果!$E$8),0)</f>
        <v>137</v>
      </c>
      <c r="F335">
        <f ca="1">ROUND(NORMINV(RAND(),最终结果!$I$12,最终结果!$E$12),0)</f>
        <v>86</v>
      </c>
      <c r="G335" t="str">
        <f t="shared" ca="1" si="12"/>
        <v>Away</v>
      </c>
      <c r="H335" t="str">
        <f ca="1">IF(E335+最终结果!$G$8&gt;simulation!F335,"W","L")</f>
        <v>W</v>
      </c>
      <c r="I335" t="str">
        <f ca="1">IF(F335+最终结果!$G$12&gt;simulation!E335,"W","L")</f>
        <v>L</v>
      </c>
      <c r="J335" t="str">
        <f ca="1">IF((E335+F335)&gt;最终结果!$H$8,"Over","Under")</f>
        <v>Under</v>
      </c>
    </row>
    <row r="336" spans="3:10" x14ac:dyDescent="0.25">
      <c r="C336">
        <v>335</v>
      </c>
      <c r="D336" t="str">
        <f t="shared" ca="1" si="11"/>
        <v>1</v>
      </c>
      <c r="E336">
        <f ca="1">ROUND(NORMINV(RAND(),最终结果!$I$8,最终结果!$E$8),0)</f>
        <v>118</v>
      </c>
      <c r="F336">
        <f ca="1">ROUND(NORMINV(RAND(),最终结果!$I$12,最终结果!$E$12),0)</f>
        <v>115</v>
      </c>
      <c r="G336" t="str">
        <f t="shared" ca="1" si="12"/>
        <v>Away</v>
      </c>
      <c r="H336" t="str">
        <f ca="1">IF(E336+最终结果!$G$8&gt;simulation!F336,"W","L")</f>
        <v>W</v>
      </c>
      <c r="I336" t="str">
        <f ca="1">IF(F336+最终结果!$G$12&gt;simulation!E336,"W","L")</f>
        <v>L</v>
      </c>
      <c r="J336" t="str">
        <f ca="1">IF((E336+F336)&gt;最终结果!$H$8,"Over","Under")</f>
        <v>Under</v>
      </c>
    </row>
    <row r="337" spans="3:10" x14ac:dyDescent="0.25">
      <c r="C337">
        <v>336</v>
      </c>
      <c r="D337" t="str">
        <f t="shared" ca="1" si="11"/>
        <v>-1</v>
      </c>
      <c r="E337">
        <f ca="1">ROUND(NORMINV(RAND(),最终结果!$I$8,最终结果!$E$8),0)</f>
        <v>110</v>
      </c>
      <c r="F337">
        <f ca="1">ROUND(NORMINV(RAND(),最终结果!$I$12,最终结果!$E$12),0)</f>
        <v>116</v>
      </c>
      <c r="G337" t="str">
        <f t="shared" ca="1" si="12"/>
        <v>Home</v>
      </c>
      <c r="H337" t="str">
        <f ca="1">IF(E337+最终结果!$G$8&gt;simulation!F337,"W","L")</f>
        <v>L</v>
      </c>
      <c r="I337" t="str">
        <f ca="1">IF(F337+最终结果!$G$12&gt;simulation!E337,"W","L")</f>
        <v>W</v>
      </c>
      <c r="J337" t="str">
        <f ca="1">IF((E337+F337)&gt;最终结果!$H$8,"Over","Under")</f>
        <v>Under</v>
      </c>
    </row>
    <row r="338" spans="3:10" x14ac:dyDescent="0.25">
      <c r="C338">
        <v>337</v>
      </c>
      <c r="D338" t="str">
        <f t="shared" ca="1" si="11"/>
        <v>1</v>
      </c>
      <c r="E338">
        <f ca="1">ROUND(NORMINV(RAND(),最终结果!$I$8,最终结果!$E$8),0)</f>
        <v>129</v>
      </c>
      <c r="F338">
        <f ca="1">ROUND(NORMINV(RAND(),最终结果!$I$12,最终结果!$E$12),0)</f>
        <v>96</v>
      </c>
      <c r="G338" t="str">
        <f t="shared" ca="1" si="12"/>
        <v>Away</v>
      </c>
      <c r="H338" t="str">
        <f ca="1">IF(E338+最终结果!$G$8&gt;simulation!F338,"W","L")</f>
        <v>W</v>
      </c>
      <c r="I338" t="str">
        <f ca="1">IF(F338+最终结果!$G$12&gt;simulation!E338,"W","L")</f>
        <v>L</v>
      </c>
      <c r="J338" t="str">
        <f ca="1">IF((E338+F338)&gt;最终结果!$H$8,"Over","Under")</f>
        <v>Under</v>
      </c>
    </row>
    <row r="339" spans="3:10" x14ac:dyDescent="0.25">
      <c r="C339">
        <v>338</v>
      </c>
      <c r="D339" t="str">
        <f t="shared" ca="1" si="11"/>
        <v>1</v>
      </c>
      <c r="E339">
        <f ca="1">ROUND(NORMINV(RAND(),最终结果!$I$8,最终结果!$E$8),0)</f>
        <v>112</v>
      </c>
      <c r="F339">
        <f ca="1">ROUND(NORMINV(RAND(),最终结果!$I$12,最终结果!$E$12),0)</f>
        <v>101</v>
      </c>
      <c r="G339" t="str">
        <f t="shared" ca="1" si="12"/>
        <v>Away</v>
      </c>
      <c r="H339" t="str">
        <f ca="1">IF(E339+最终结果!$G$8&gt;simulation!F339,"W","L")</f>
        <v>W</v>
      </c>
      <c r="I339" t="str">
        <f ca="1">IF(F339+最终结果!$G$12&gt;simulation!E339,"W","L")</f>
        <v>L</v>
      </c>
      <c r="J339" t="str">
        <f ca="1">IF((E339+F339)&gt;最终结果!$H$8,"Over","Under")</f>
        <v>Under</v>
      </c>
    </row>
    <row r="340" spans="3:10" x14ac:dyDescent="0.25">
      <c r="C340">
        <v>339</v>
      </c>
      <c r="D340" t="str">
        <f t="shared" ca="1" si="11"/>
        <v>-1</v>
      </c>
      <c r="E340">
        <f ca="1">ROUND(NORMINV(RAND(),最终结果!$I$8,最终结果!$E$8),0)</f>
        <v>95</v>
      </c>
      <c r="F340">
        <f ca="1">ROUND(NORMINV(RAND(),最终结果!$I$12,最终结果!$E$12),0)</f>
        <v>109</v>
      </c>
      <c r="G340" t="str">
        <f t="shared" ca="1" si="12"/>
        <v>Home</v>
      </c>
      <c r="H340" t="str">
        <f ca="1">IF(E340+最终结果!$G$8&gt;simulation!F340,"W","L")</f>
        <v>L</v>
      </c>
      <c r="I340" t="str">
        <f ca="1">IF(F340+最终结果!$G$12&gt;simulation!E340,"W","L")</f>
        <v>W</v>
      </c>
      <c r="J340" t="str">
        <f ca="1">IF((E340+F340)&gt;最终结果!$H$8,"Over","Under")</f>
        <v>Under</v>
      </c>
    </row>
    <row r="341" spans="3:10" x14ac:dyDescent="0.25">
      <c r="C341">
        <v>340</v>
      </c>
      <c r="D341" t="str">
        <f t="shared" ca="1" si="11"/>
        <v>1</v>
      </c>
      <c r="E341">
        <f ca="1">ROUND(NORMINV(RAND(),最终结果!$I$8,最终结果!$E$8),0)</f>
        <v>140</v>
      </c>
      <c r="F341">
        <f ca="1">ROUND(NORMINV(RAND(),最终结果!$I$12,最终结果!$E$12),0)</f>
        <v>83</v>
      </c>
      <c r="G341" t="str">
        <f t="shared" ca="1" si="12"/>
        <v>Away</v>
      </c>
      <c r="H341" t="str">
        <f ca="1">IF(E341+最终结果!$G$8&gt;simulation!F341,"W","L")</f>
        <v>W</v>
      </c>
      <c r="I341" t="str">
        <f ca="1">IF(F341+最终结果!$G$12&gt;simulation!E341,"W","L")</f>
        <v>L</v>
      </c>
      <c r="J341" t="str">
        <f ca="1">IF((E341+F341)&gt;最终结果!$H$8,"Over","Under")</f>
        <v>Under</v>
      </c>
    </row>
    <row r="342" spans="3:10" x14ac:dyDescent="0.25">
      <c r="C342">
        <v>341</v>
      </c>
      <c r="D342" t="str">
        <f t="shared" ca="1" si="11"/>
        <v>-1</v>
      </c>
      <c r="E342">
        <f ca="1">ROUND(NORMINV(RAND(),最终结果!$I$8,最终结果!$E$8),0)</f>
        <v>120</v>
      </c>
      <c r="F342">
        <f ca="1">ROUND(NORMINV(RAND(),最终结果!$I$12,最终结果!$E$12),0)</f>
        <v>121</v>
      </c>
      <c r="G342" t="str">
        <f t="shared" ca="1" si="12"/>
        <v>Home</v>
      </c>
      <c r="H342" t="str">
        <f ca="1">IF(E342+最终结果!$G$8&gt;simulation!F342,"W","L")</f>
        <v>W</v>
      </c>
      <c r="I342" t="str">
        <f ca="1">IF(F342+最终结果!$G$12&gt;simulation!E342,"W","L")</f>
        <v>L</v>
      </c>
      <c r="J342" t="str">
        <f ca="1">IF((E342+F342)&gt;最终结果!$H$8,"Over","Under")</f>
        <v>Over</v>
      </c>
    </row>
    <row r="343" spans="3:10" x14ac:dyDescent="0.25">
      <c r="C343">
        <v>342</v>
      </c>
      <c r="D343" t="str">
        <f t="shared" ca="1" si="11"/>
        <v>-1</v>
      </c>
      <c r="E343">
        <f ca="1">ROUND(NORMINV(RAND(),最终结果!$I$8,最终结果!$E$8),0)</f>
        <v>106</v>
      </c>
      <c r="F343">
        <f ca="1">ROUND(NORMINV(RAND(),最终结果!$I$12,最终结果!$E$12),0)</f>
        <v>114</v>
      </c>
      <c r="G343" t="str">
        <f t="shared" ca="1" si="12"/>
        <v>Home</v>
      </c>
      <c r="H343" t="str">
        <f ca="1">IF(E343+最终结果!$G$8&gt;simulation!F343,"W","L")</f>
        <v>L</v>
      </c>
      <c r="I343" t="str">
        <f ca="1">IF(F343+最终结果!$G$12&gt;simulation!E343,"W","L")</f>
        <v>W</v>
      </c>
      <c r="J343" t="str">
        <f ca="1">IF((E343+F343)&gt;最终结果!$H$8,"Over","Under")</f>
        <v>Under</v>
      </c>
    </row>
    <row r="344" spans="3:10" x14ac:dyDescent="0.25">
      <c r="C344">
        <v>343</v>
      </c>
      <c r="D344" t="str">
        <f t="shared" ca="1" si="11"/>
        <v>-1</v>
      </c>
      <c r="E344">
        <f ca="1">ROUND(NORMINV(RAND(),最终结果!$I$8,最终结果!$E$8),0)</f>
        <v>101</v>
      </c>
      <c r="F344">
        <f ca="1">ROUND(NORMINV(RAND(),最终结果!$I$12,最终结果!$E$12),0)</f>
        <v>105</v>
      </c>
      <c r="G344" t="str">
        <f t="shared" ca="1" si="12"/>
        <v>Home</v>
      </c>
      <c r="H344" t="str">
        <f ca="1">IF(E344+最终结果!$G$8&gt;simulation!F344,"W","L")</f>
        <v>L</v>
      </c>
      <c r="I344" t="str">
        <f ca="1">IF(F344+最终结果!$G$12&gt;simulation!E344,"W","L")</f>
        <v>W</v>
      </c>
      <c r="J344" t="str">
        <f ca="1">IF((E344+F344)&gt;最终结果!$H$8,"Over","Under")</f>
        <v>Under</v>
      </c>
    </row>
    <row r="345" spans="3:10" x14ac:dyDescent="0.25">
      <c r="C345">
        <v>344</v>
      </c>
      <c r="D345" t="str">
        <f t="shared" ca="1" si="11"/>
        <v>1</v>
      </c>
      <c r="E345">
        <f ca="1">ROUND(NORMINV(RAND(),最终结果!$I$8,最终结果!$E$8),0)</f>
        <v>111</v>
      </c>
      <c r="F345">
        <f ca="1">ROUND(NORMINV(RAND(),最终结果!$I$12,最终结果!$E$12),0)</f>
        <v>95</v>
      </c>
      <c r="G345" t="str">
        <f t="shared" ca="1" si="12"/>
        <v>Away</v>
      </c>
      <c r="H345" t="str">
        <f ca="1">IF(E345+最终结果!$G$8&gt;simulation!F345,"W","L")</f>
        <v>W</v>
      </c>
      <c r="I345" t="str">
        <f ca="1">IF(F345+最终结果!$G$12&gt;simulation!E345,"W","L")</f>
        <v>L</v>
      </c>
      <c r="J345" t="str">
        <f ca="1">IF((E345+F345)&gt;最终结果!$H$8,"Over","Under")</f>
        <v>Under</v>
      </c>
    </row>
    <row r="346" spans="3:10" x14ac:dyDescent="0.25">
      <c r="C346">
        <v>345</v>
      </c>
      <c r="D346" t="str">
        <f t="shared" ca="1" si="11"/>
        <v>-1</v>
      </c>
      <c r="E346">
        <f ca="1">ROUND(NORMINV(RAND(),最终结果!$I$8,最终结果!$E$8),0)</f>
        <v>116</v>
      </c>
      <c r="F346">
        <f ca="1">ROUND(NORMINV(RAND(),最终结果!$I$12,最终结果!$E$12),0)</f>
        <v>121</v>
      </c>
      <c r="G346" t="str">
        <f t="shared" ca="1" si="12"/>
        <v>Home</v>
      </c>
      <c r="H346" t="str">
        <f ca="1">IF(E346+最终结果!$G$8&gt;simulation!F346,"W","L")</f>
        <v>L</v>
      </c>
      <c r="I346" t="str">
        <f ca="1">IF(F346+最终结果!$G$12&gt;simulation!E346,"W","L")</f>
        <v>W</v>
      </c>
      <c r="J346" t="str">
        <f ca="1">IF((E346+F346)&gt;最终结果!$H$8,"Over","Under")</f>
        <v>Under</v>
      </c>
    </row>
    <row r="347" spans="3:10" x14ac:dyDescent="0.25">
      <c r="C347">
        <v>346</v>
      </c>
      <c r="D347" t="str">
        <f t="shared" ca="1" si="11"/>
        <v>-1</v>
      </c>
      <c r="E347">
        <f ca="1">ROUND(NORMINV(RAND(),最终结果!$I$8,最终结果!$E$8),0)</f>
        <v>108</v>
      </c>
      <c r="F347">
        <f ca="1">ROUND(NORMINV(RAND(),最终结果!$I$12,最终结果!$E$12),0)</f>
        <v>129</v>
      </c>
      <c r="G347" t="str">
        <f t="shared" ca="1" si="12"/>
        <v>Home</v>
      </c>
      <c r="H347" t="str">
        <f ca="1">IF(E347+最终结果!$G$8&gt;simulation!F347,"W","L")</f>
        <v>L</v>
      </c>
      <c r="I347" t="str">
        <f ca="1">IF(F347+最终结果!$G$12&gt;simulation!E347,"W","L")</f>
        <v>W</v>
      </c>
      <c r="J347" t="str">
        <f ca="1">IF((E347+F347)&gt;最终结果!$H$8,"Over","Under")</f>
        <v>Under</v>
      </c>
    </row>
    <row r="348" spans="3:10" x14ac:dyDescent="0.25">
      <c r="C348">
        <v>347</v>
      </c>
      <c r="D348" t="str">
        <f t="shared" ca="1" si="11"/>
        <v>-1</v>
      </c>
      <c r="E348">
        <f ca="1">ROUND(NORMINV(RAND(),最终结果!$I$8,最终结果!$E$8),0)</f>
        <v>87</v>
      </c>
      <c r="F348">
        <f ca="1">ROUND(NORMINV(RAND(),最终结果!$I$12,最终结果!$E$12),0)</f>
        <v>111</v>
      </c>
      <c r="G348" t="str">
        <f t="shared" ca="1" si="12"/>
        <v>Home</v>
      </c>
      <c r="H348" t="str">
        <f ca="1">IF(E348+最终结果!$G$8&gt;simulation!F348,"W","L")</f>
        <v>L</v>
      </c>
      <c r="I348" t="str">
        <f ca="1">IF(F348+最终结果!$G$12&gt;simulation!E348,"W","L")</f>
        <v>W</v>
      </c>
      <c r="J348" t="str">
        <f ca="1">IF((E348+F348)&gt;最终结果!$H$8,"Over","Under")</f>
        <v>Under</v>
      </c>
    </row>
    <row r="349" spans="3:10" x14ac:dyDescent="0.25">
      <c r="C349">
        <v>348</v>
      </c>
      <c r="D349" t="str">
        <f t="shared" ca="1" si="11"/>
        <v>-1</v>
      </c>
      <c r="E349">
        <f ca="1">ROUND(NORMINV(RAND(),最终结果!$I$8,最终结果!$E$8),0)</f>
        <v>116</v>
      </c>
      <c r="F349">
        <f ca="1">ROUND(NORMINV(RAND(),最终结果!$I$12,最终结果!$E$12),0)</f>
        <v>140</v>
      </c>
      <c r="G349" t="str">
        <f t="shared" ca="1" si="12"/>
        <v>Home</v>
      </c>
      <c r="H349" t="str">
        <f ca="1">IF(E349+最终结果!$G$8&gt;simulation!F349,"W","L")</f>
        <v>L</v>
      </c>
      <c r="I349" t="str">
        <f ca="1">IF(F349+最终结果!$G$12&gt;simulation!E349,"W","L")</f>
        <v>W</v>
      </c>
      <c r="J349" t="str">
        <f ca="1">IF((E349+F349)&gt;最终结果!$H$8,"Over","Under")</f>
        <v>Over</v>
      </c>
    </row>
    <row r="350" spans="3:10" x14ac:dyDescent="0.25">
      <c r="C350">
        <v>349</v>
      </c>
      <c r="D350" t="str">
        <f t="shared" ca="1" si="11"/>
        <v>-1</v>
      </c>
      <c r="E350">
        <f ca="1">ROUND(NORMINV(RAND(),最终结果!$I$8,最终结果!$E$8),0)</f>
        <v>115</v>
      </c>
      <c r="F350">
        <f ca="1">ROUND(NORMINV(RAND(),最终结果!$I$12,最终结果!$E$12),0)</f>
        <v>118</v>
      </c>
      <c r="G350" t="str">
        <f t="shared" ca="1" si="12"/>
        <v>Home</v>
      </c>
      <c r="H350" t="str">
        <f ca="1">IF(E350+最终结果!$G$8&gt;simulation!F350,"W","L")</f>
        <v>L</v>
      </c>
      <c r="I350" t="str">
        <f ca="1">IF(F350+最终结果!$G$12&gt;simulation!E350,"W","L")</f>
        <v>L</v>
      </c>
      <c r="J350" t="str">
        <f ca="1">IF((E350+F350)&gt;最终结果!$H$8,"Over","Under")</f>
        <v>Under</v>
      </c>
    </row>
    <row r="351" spans="3:10" x14ac:dyDescent="0.25">
      <c r="C351">
        <v>350</v>
      </c>
      <c r="D351" t="str">
        <f t="shared" ca="1" si="11"/>
        <v>-1</v>
      </c>
      <c r="E351">
        <f ca="1">ROUND(NORMINV(RAND(),最终结果!$I$8,最终结果!$E$8),0)</f>
        <v>116</v>
      </c>
      <c r="F351">
        <f ca="1">ROUND(NORMINV(RAND(),最终结果!$I$12,最终结果!$E$12),0)</f>
        <v>135</v>
      </c>
      <c r="G351" t="str">
        <f t="shared" ca="1" si="12"/>
        <v>Home</v>
      </c>
      <c r="H351" t="str">
        <f ca="1">IF(E351+最终结果!$G$8&gt;simulation!F351,"W","L")</f>
        <v>L</v>
      </c>
      <c r="I351" t="str">
        <f ca="1">IF(F351+最终结果!$G$12&gt;simulation!E351,"W","L")</f>
        <v>W</v>
      </c>
      <c r="J351" t="str">
        <f ca="1">IF((E351+F351)&gt;最终结果!$H$8,"Over","Under")</f>
        <v>Over</v>
      </c>
    </row>
    <row r="352" spans="3:10" x14ac:dyDescent="0.25">
      <c r="C352">
        <v>351</v>
      </c>
      <c r="D352" t="str">
        <f t="shared" ca="1" si="11"/>
        <v>1</v>
      </c>
      <c r="E352">
        <f ca="1">ROUND(NORMINV(RAND(),最终结果!$I$8,最终结果!$E$8),0)</f>
        <v>118</v>
      </c>
      <c r="F352">
        <f ca="1">ROUND(NORMINV(RAND(),最终结果!$I$12,最终结果!$E$12),0)</f>
        <v>116</v>
      </c>
      <c r="G352" t="str">
        <f t="shared" ca="1" si="12"/>
        <v>Away</v>
      </c>
      <c r="H352" t="str">
        <f ca="1">IF(E352+最终结果!$G$8&gt;simulation!F352,"W","L")</f>
        <v>W</v>
      </c>
      <c r="I352" t="str">
        <f ca="1">IF(F352+最终结果!$G$12&gt;simulation!E352,"W","L")</f>
        <v>L</v>
      </c>
      <c r="J352" t="str">
        <f ca="1">IF((E352+F352)&gt;最终结果!$H$8,"Over","Under")</f>
        <v>Under</v>
      </c>
    </row>
    <row r="353" spans="3:10" x14ac:dyDescent="0.25">
      <c r="C353">
        <v>352</v>
      </c>
      <c r="D353" t="str">
        <f t="shared" ca="1" si="11"/>
        <v>-1</v>
      </c>
      <c r="E353">
        <f ca="1">ROUND(NORMINV(RAND(),最终结果!$I$8,最终结果!$E$8),0)</f>
        <v>104</v>
      </c>
      <c r="F353">
        <f ca="1">ROUND(NORMINV(RAND(),最终结果!$I$12,最终结果!$E$12),0)</f>
        <v>114</v>
      </c>
      <c r="G353" t="str">
        <f t="shared" ca="1" si="12"/>
        <v>Home</v>
      </c>
      <c r="H353" t="str">
        <f ca="1">IF(E353+最终结果!$G$8&gt;simulation!F353,"W","L")</f>
        <v>L</v>
      </c>
      <c r="I353" t="str">
        <f ca="1">IF(F353+最终结果!$G$12&gt;simulation!E353,"W","L")</f>
        <v>W</v>
      </c>
      <c r="J353" t="str">
        <f ca="1">IF((E353+F353)&gt;最终结果!$H$8,"Over","Under")</f>
        <v>Under</v>
      </c>
    </row>
    <row r="354" spans="3:10" x14ac:dyDescent="0.25">
      <c r="C354">
        <v>353</v>
      </c>
      <c r="D354" t="str">
        <f t="shared" ca="1" si="11"/>
        <v>1</v>
      </c>
      <c r="E354">
        <f ca="1">ROUND(NORMINV(RAND(),最终结果!$I$8,最终结果!$E$8),0)</f>
        <v>123</v>
      </c>
      <c r="F354">
        <f ca="1">ROUND(NORMINV(RAND(),最终结果!$I$12,最终结果!$E$12),0)</f>
        <v>113</v>
      </c>
      <c r="G354" t="str">
        <f t="shared" ca="1" si="12"/>
        <v>Away</v>
      </c>
      <c r="H354" t="str">
        <f ca="1">IF(E354+最终结果!$G$8&gt;simulation!F354,"W","L")</f>
        <v>W</v>
      </c>
      <c r="I354" t="str">
        <f ca="1">IF(F354+最终结果!$G$12&gt;simulation!E354,"W","L")</f>
        <v>L</v>
      </c>
      <c r="J354" t="str">
        <f ca="1">IF((E354+F354)&gt;最终结果!$H$8,"Over","Under")</f>
        <v>Under</v>
      </c>
    </row>
    <row r="355" spans="3:10" x14ac:dyDescent="0.25">
      <c r="C355">
        <v>354</v>
      </c>
      <c r="D355" t="str">
        <f t="shared" ca="1" si="11"/>
        <v>-1</v>
      </c>
      <c r="E355">
        <f ca="1">ROUND(NORMINV(RAND(),最终结果!$I$8,最终结果!$E$8),0)</f>
        <v>105</v>
      </c>
      <c r="F355">
        <f ca="1">ROUND(NORMINV(RAND(),最终结果!$I$12,最终结果!$E$12),0)</f>
        <v>116</v>
      </c>
      <c r="G355" t="str">
        <f t="shared" ca="1" si="12"/>
        <v>Home</v>
      </c>
      <c r="H355" t="str">
        <f ca="1">IF(E355+最终结果!$G$8&gt;simulation!F355,"W","L")</f>
        <v>L</v>
      </c>
      <c r="I355" t="str">
        <f ca="1">IF(F355+最终结果!$G$12&gt;simulation!E355,"W","L")</f>
        <v>W</v>
      </c>
      <c r="J355" t="str">
        <f ca="1">IF((E355+F355)&gt;最终结果!$H$8,"Over","Under")</f>
        <v>Under</v>
      </c>
    </row>
    <row r="356" spans="3:10" x14ac:dyDescent="0.25">
      <c r="C356">
        <v>355</v>
      </c>
      <c r="D356" t="str">
        <f t="shared" ca="1" si="11"/>
        <v>-1</v>
      </c>
      <c r="E356">
        <f ca="1">ROUND(NORMINV(RAND(),最终结果!$I$8,最终结果!$E$8),0)</f>
        <v>96</v>
      </c>
      <c r="F356">
        <f ca="1">ROUND(NORMINV(RAND(),最终结果!$I$12,最终结果!$E$12),0)</f>
        <v>115</v>
      </c>
      <c r="G356" t="str">
        <f t="shared" ca="1" si="12"/>
        <v>Home</v>
      </c>
      <c r="H356" t="str">
        <f ca="1">IF(E356+最终结果!$G$8&gt;simulation!F356,"W","L")</f>
        <v>L</v>
      </c>
      <c r="I356" t="str">
        <f ca="1">IF(F356+最终结果!$G$12&gt;simulation!E356,"W","L")</f>
        <v>W</v>
      </c>
      <c r="J356" t="str">
        <f ca="1">IF((E356+F356)&gt;最终结果!$H$8,"Over","Under")</f>
        <v>Under</v>
      </c>
    </row>
    <row r="357" spans="3:10" x14ac:dyDescent="0.25">
      <c r="C357">
        <v>356</v>
      </c>
      <c r="D357" t="str">
        <f t="shared" ca="1" si="11"/>
        <v>1</v>
      </c>
      <c r="E357">
        <f ca="1">ROUND(NORMINV(RAND(),最终结果!$I$8,最终结果!$E$8),0)</f>
        <v>126</v>
      </c>
      <c r="F357">
        <f ca="1">ROUND(NORMINV(RAND(),最终结果!$I$12,最终结果!$E$12),0)</f>
        <v>118</v>
      </c>
      <c r="G357" t="str">
        <f t="shared" ca="1" si="12"/>
        <v>Away</v>
      </c>
      <c r="H357" t="str">
        <f ca="1">IF(E357+最终结果!$G$8&gt;simulation!F357,"W","L")</f>
        <v>W</v>
      </c>
      <c r="I357" t="str">
        <f ca="1">IF(F357+最终结果!$G$12&gt;simulation!E357,"W","L")</f>
        <v>L</v>
      </c>
      <c r="J357" t="str">
        <f ca="1">IF((E357+F357)&gt;最终结果!$H$8,"Over","Under")</f>
        <v>Over</v>
      </c>
    </row>
    <row r="358" spans="3:10" x14ac:dyDescent="0.25">
      <c r="C358">
        <v>357</v>
      </c>
      <c r="D358">
        <f t="shared" ca="1" si="11"/>
        <v>0</v>
      </c>
      <c r="E358">
        <f ca="1">ROUND(NORMINV(RAND(),最终结果!$I$8,最终结果!$E$8),0)</f>
        <v>107</v>
      </c>
      <c r="F358">
        <f ca="1">ROUND(NORMINV(RAND(),最终结果!$I$12,最终结果!$E$12),0)</f>
        <v>107</v>
      </c>
      <c r="G358" t="str">
        <f t="shared" ca="1" si="12"/>
        <v>OT</v>
      </c>
      <c r="H358" t="str">
        <f ca="1">IF(E358+最终结果!$G$8&gt;simulation!F358,"W","L")</f>
        <v>W</v>
      </c>
      <c r="I358" t="str">
        <f ca="1">IF(F358+最终结果!$G$12&gt;simulation!E358,"W","L")</f>
        <v>L</v>
      </c>
      <c r="J358" t="str">
        <f ca="1">IF((E358+F358)&gt;最终结果!$H$8,"Over","Under")</f>
        <v>Under</v>
      </c>
    </row>
    <row r="359" spans="3:10" x14ac:dyDescent="0.25">
      <c r="C359">
        <v>358</v>
      </c>
      <c r="D359" t="str">
        <f t="shared" ca="1" si="11"/>
        <v>-1</v>
      </c>
      <c r="E359">
        <f ca="1">ROUND(NORMINV(RAND(),最终结果!$I$8,最终结果!$E$8),0)</f>
        <v>115</v>
      </c>
      <c r="F359">
        <f ca="1">ROUND(NORMINV(RAND(),最终结果!$I$12,最终结果!$E$12),0)</f>
        <v>120</v>
      </c>
      <c r="G359" t="str">
        <f t="shared" ca="1" si="12"/>
        <v>Home</v>
      </c>
      <c r="H359" t="str">
        <f ca="1">IF(E359+最终结果!$G$8&gt;simulation!F359,"W","L")</f>
        <v>L</v>
      </c>
      <c r="I359" t="str">
        <f ca="1">IF(F359+最终结果!$G$12&gt;simulation!E359,"W","L")</f>
        <v>W</v>
      </c>
      <c r="J359" t="str">
        <f ca="1">IF((E359+F359)&gt;最终结果!$H$8,"Over","Under")</f>
        <v>Under</v>
      </c>
    </row>
    <row r="360" spans="3:10" x14ac:dyDescent="0.25">
      <c r="C360">
        <v>359</v>
      </c>
      <c r="D360" t="str">
        <f t="shared" ca="1" si="11"/>
        <v>1</v>
      </c>
      <c r="E360">
        <f ca="1">ROUND(NORMINV(RAND(),最终结果!$I$8,最终结果!$E$8),0)</f>
        <v>98</v>
      </c>
      <c r="F360">
        <f ca="1">ROUND(NORMINV(RAND(),最终结果!$I$12,最终结果!$E$12),0)</f>
        <v>94</v>
      </c>
      <c r="G360" t="str">
        <f t="shared" ca="1" si="12"/>
        <v>Away</v>
      </c>
      <c r="H360" t="str">
        <f ca="1">IF(E360+最终结果!$G$8&gt;simulation!F360,"W","L")</f>
        <v>W</v>
      </c>
      <c r="I360" t="str">
        <f ca="1">IF(F360+最终结果!$G$12&gt;simulation!E360,"W","L")</f>
        <v>L</v>
      </c>
      <c r="J360" t="str">
        <f ca="1">IF((E360+F360)&gt;最终结果!$H$8,"Over","Under")</f>
        <v>Under</v>
      </c>
    </row>
    <row r="361" spans="3:10" x14ac:dyDescent="0.25">
      <c r="C361">
        <v>360</v>
      </c>
      <c r="D361" t="str">
        <f t="shared" ca="1" si="11"/>
        <v>-1</v>
      </c>
      <c r="E361">
        <f ca="1">ROUND(NORMINV(RAND(),最终结果!$I$8,最终结果!$E$8),0)</f>
        <v>109</v>
      </c>
      <c r="F361">
        <f ca="1">ROUND(NORMINV(RAND(),最终结果!$I$12,最终结果!$E$12),0)</f>
        <v>140</v>
      </c>
      <c r="G361" t="str">
        <f t="shared" ca="1" si="12"/>
        <v>Home</v>
      </c>
      <c r="H361" t="str">
        <f ca="1">IF(E361+最终结果!$G$8&gt;simulation!F361,"W","L")</f>
        <v>L</v>
      </c>
      <c r="I361" t="str">
        <f ca="1">IF(F361+最终结果!$G$12&gt;simulation!E361,"W","L")</f>
        <v>W</v>
      </c>
      <c r="J361" t="str">
        <f ca="1">IF((E361+F361)&gt;最终结果!$H$8,"Over","Under")</f>
        <v>Over</v>
      </c>
    </row>
    <row r="362" spans="3:10" x14ac:dyDescent="0.25">
      <c r="C362">
        <v>361</v>
      </c>
      <c r="D362" t="str">
        <f t="shared" ca="1" si="11"/>
        <v>-1</v>
      </c>
      <c r="E362">
        <f ca="1">ROUND(NORMINV(RAND(),最终结果!$I$8,最终结果!$E$8),0)</f>
        <v>110</v>
      </c>
      <c r="F362">
        <f ca="1">ROUND(NORMINV(RAND(),最终结果!$I$12,最终结果!$E$12),0)</f>
        <v>111</v>
      </c>
      <c r="G362" t="str">
        <f t="shared" ca="1" si="12"/>
        <v>Home</v>
      </c>
      <c r="H362" t="str">
        <f ca="1">IF(E362+最终结果!$G$8&gt;simulation!F362,"W","L")</f>
        <v>W</v>
      </c>
      <c r="I362" t="str">
        <f ca="1">IF(F362+最终结果!$G$12&gt;simulation!E362,"W","L")</f>
        <v>L</v>
      </c>
      <c r="J362" t="str">
        <f ca="1">IF((E362+F362)&gt;最终结果!$H$8,"Over","Under")</f>
        <v>Under</v>
      </c>
    </row>
    <row r="363" spans="3:10" x14ac:dyDescent="0.25">
      <c r="C363">
        <v>362</v>
      </c>
      <c r="D363" t="str">
        <f t="shared" ca="1" si="11"/>
        <v>1</v>
      </c>
      <c r="E363">
        <f ca="1">ROUND(NORMINV(RAND(),最终结果!$I$8,最终结果!$E$8),0)</f>
        <v>146</v>
      </c>
      <c r="F363">
        <f ca="1">ROUND(NORMINV(RAND(),最终结果!$I$12,最终结果!$E$12),0)</f>
        <v>120</v>
      </c>
      <c r="G363" t="str">
        <f t="shared" ca="1" si="12"/>
        <v>Away</v>
      </c>
      <c r="H363" t="str">
        <f ca="1">IF(E363+最终结果!$G$8&gt;simulation!F363,"W","L")</f>
        <v>W</v>
      </c>
      <c r="I363" t="str">
        <f ca="1">IF(F363+最终结果!$G$12&gt;simulation!E363,"W","L")</f>
        <v>L</v>
      </c>
      <c r="J363" t="str">
        <f ca="1">IF((E363+F363)&gt;最终结果!$H$8,"Over","Under")</f>
        <v>Over</v>
      </c>
    </row>
    <row r="364" spans="3:10" x14ac:dyDescent="0.25">
      <c r="C364">
        <v>363</v>
      </c>
      <c r="D364" t="str">
        <f t="shared" ca="1" si="11"/>
        <v>1</v>
      </c>
      <c r="E364">
        <f ca="1">ROUND(NORMINV(RAND(),最终结果!$I$8,最终结果!$E$8),0)</f>
        <v>132</v>
      </c>
      <c r="F364">
        <f ca="1">ROUND(NORMINV(RAND(),最终结果!$I$12,最终结果!$E$12),0)</f>
        <v>128</v>
      </c>
      <c r="G364" t="str">
        <f t="shared" ca="1" si="12"/>
        <v>Away</v>
      </c>
      <c r="H364" t="str">
        <f ca="1">IF(E364+最终结果!$G$8&gt;simulation!F364,"W","L")</f>
        <v>W</v>
      </c>
      <c r="I364" t="str">
        <f ca="1">IF(F364+最终结果!$G$12&gt;simulation!E364,"W","L")</f>
        <v>L</v>
      </c>
      <c r="J364" t="str">
        <f ca="1">IF((E364+F364)&gt;最终结果!$H$8,"Over","Under")</f>
        <v>Over</v>
      </c>
    </row>
    <row r="365" spans="3:10" x14ac:dyDescent="0.25">
      <c r="C365">
        <v>364</v>
      </c>
      <c r="D365" t="str">
        <f t="shared" ca="1" si="11"/>
        <v>1</v>
      </c>
      <c r="E365">
        <f ca="1">ROUND(NORMINV(RAND(),最终结果!$I$8,最终结果!$E$8),0)</f>
        <v>125</v>
      </c>
      <c r="F365">
        <f ca="1">ROUND(NORMINV(RAND(),最终结果!$I$12,最终结果!$E$12),0)</f>
        <v>102</v>
      </c>
      <c r="G365" t="str">
        <f t="shared" ca="1" si="12"/>
        <v>Away</v>
      </c>
      <c r="H365" t="str">
        <f ca="1">IF(E365+最终结果!$G$8&gt;simulation!F365,"W","L")</f>
        <v>W</v>
      </c>
      <c r="I365" t="str">
        <f ca="1">IF(F365+最终结果!$G$12&gt;simulation!E365,"W","L")</f>
        <v>L</v>
      </c>
      <c r="J365" t="str">
        <f ca="1">IF((E365+F365)&gt;最终结果!$H$8,"Over","Under")</f>
        <v>Under</v>
      </c>
    </row>
    <row r="366" spans="3:10" x14ac:dyDescent="0.25">
      <c r="C366">
        <v>365</v>
      </c>
      <c r="D366" t="str">
        <f t="shared" ca="1" si="11"/>
        <v>-1</v>
      </c>
      <c r="E366">
        <f ca="1">ROUND(NORMINV(RAND(),最终结果!$I$8,最终结果!$E$8),0)</f>
        <v>123</v>
      </c>
      <c r="F366">
        <f ca="1">ROUND(NORMINV(RAND(),最终结果!$I$12,最终结果!$E$12),0)</f>
        <v>132</v>
      </c>
      <c r="G366" t="str">
        <f t="shared" ca="1" si="12"/>
        <v>Home</v>
      </c>
      <c r="H366" t="str">
        <f ca="1">IF(E366+最终结果!$G$8&gt;simulation!F366,"W","L")</f>
        <v>L</v>
      </c>
      <c r="I366" t="str">
        <f ca="1">IF(F366+最终结果!$G$12&gt;simulation!E366,"W","L")</f>
        <v>W</v>
      </c>
      <c r="J366" t="str">
        <f ca="1">IF((E366+F366)&gt;最终结果!$H$8,"Over","Under")</f>
        <v>Over</v>
      </c>
    </row>
    <row r="367" spans="3:10" x14ac:dyDescent="0.25">
      <c r="C367">
        <v>366</v>
      </c>
      <c r="D367" t="str">
        <f t="shared" ca="1" si="11"/>
        <v>-1</v>
      </c>
      <c r="E367">
        <f ca="1">ROUND(NORMINV(RAND(),最终结果!$I$8,最终结果!$E$8),0)</f>
        <v>114</v>
      </c>
      <c r="F367">
        <f ca="1">ROUND(NORMINV(RAND(),最终结果!$I$12,最终结果!$E$12),0)</f>
        <v>128</v>
      </c>
      <c r="G367" t="str">
        <f t="shared" ca="1" si="12"/>
        <v>Home</v>
      </c>
      <c r="H367" t="str">
        <f ca="1">IF(E367+最终结果!$G$8&gt;simulation!F367,"W","L")</f>
        <v>L</v>
      </c>
      <c r="I367" t="str">
        <f ca="1">IF(F367+最终结果!$G$12&gt;simulation!E367,"W","L")</f>
        <v>W</v>
      </c>
      <c r="J367" t="str">
        <f ca="1">IF((E367+F367)&gt;最终结果!$H$8,"Over","Under")</f>
        <v>Over</v>
      </c>
    </row>
    <row r="368" spans="3:10" x14ac:dyDescent="0.25">
      <c r="C368">
        <v>367</v>
      </c>
      <c r="D368" t="str">
        <f t="shared" ca="1" si="11"/>
        <v>-1</v>
      </c>
      <c r="E368">
        <f ca="1">ROUND(NORMINV(RAND(),最终结果!$I$8,最终结果!$E$8),0)</f>
        <v>109</v>
      </c>
      <c r="F368">
        <f ca="1">ROUND(NORMINV(RAND(),最终结果!$I$12,最终结果!$E$12),0)</f>
        <v>111</v>
      </c>
      <c r="G368" t="str">
        <f t="shared" ca="1" si="12"/>
        <v>Home</v>
      </c>
      <c r="H368" t="str">
        <f ca="1">IF(E368+最终结果!$G$8&gt;simulation!F368,"W","L")</f>
        <v>W</v>
      </c>
      <c r="I368" t="str">
        <f ca="1">IF(F368+最终结果!$G$12&gt;simulation!E368,"W","L")</f>
        <v>L</v>
      </c>
      <c r="J368" t="str">
        <f ca="1">IF((E368+F368)&gt;最终结果!$H$8,"Over","Under")</f>
        <v>Under</v>
      </c>
    </row>
    <row r="369" spans="3:10" x14ac:dyDescent="0.25">
      <c r="C369">
        <v>368</v>
      </c>
      <c r="D369" t="str">
        <f t="shared" ca="1" si="11"/>
        <v>-1</v>
      </c>
      <c r="E369">
        <f ca="1">ROUND(NORMINV(RAND(),最终结果!$I$8,最终结果!$E$8),0)</f>
        <v>106</v>
      </c>
      <c r="F369">
        <f ca="1">ROUND(NORMINV(RAND(),最终结果!$I$12,最终结果!$E$12),0)</f>
        <v>113</v>
      </c>
      <c r="G369" t="str">
        <f t="shared" ca="1" si="12"/>
        <v>Home</v>
      </c>
      <c r="H369" t="str">
        <f ca="1">IF(E369+最终结果!$G$8&gt;simulation!F369,"W","L")</f>
        <v>L</v>
      </c>
      <c r="I369" t="str">
        <f ca="1">IF(F369+最终结果!$G$12&gt;simulation!E369,"W","L")</f>
        <v>W</v>
      </c>
      <c r="J369" t="str">
        <f ca="1">IF((E369+F369)&gt;最终结果!$H$8,"Over","Under")</f>
        <v>Under</v>
      </c>
    </row>
    <row r="370" spans="3:10" x14ac:dyDescent="0.25">
      <c r="C370">
        <v>369</v>
      </c>
      <c r="D370" t="str">
        <f t="shared" ca="1" si="11"/>
        <v>1</v>
      </c>
      <c r="E370">
        <f ca="1">ROUND(NORMINV(RAND(),最终结果!$I$8,最终结果!$E$8),0)</f>
        <v>117</v>
      </c>
      <c r="F370">
        <f ca="1">ROUND(NORMINV(RAND(),最终结果!$I$12,最终结果!$E$12),0)</f>
        <v>115</v>
      </c>
      <c r="G370" t="str">
        <f t="shared" ca="1" si="12"/>
        <v>Away</v>
      </c>
      <c r="H370" t="str">
        <f ca="1">IF(E370+最终结果!$G$8&gt;simulation!F370,"W","L")</f>
        <v>W</v>
      </c>
      <c r="I370" t="str">
        <f ca="1">IF(F370+最终结果!$G$12&gt;simulation!E370,"W","L")</f>
        <v>L</v>
      </c>
      <c r="J370" t="str">
        <f ca="1">IF((E370+F370)&gt;最终结果!$H$8,"Over","Under")</f>
        <v>Under</v>
      </c>
    </row>
    <row r="371" spans="3:10" x14ac:dyDescent="0.25">
      <c r="C371">
        <v>370</v>
      </c>
      <c r="D371" t="str">
        <f t="shared" ca="1" si="11"/>
        <v>-1</v>
      </c>
      <c r="E371">
        <f ca="1">ROUND(NORMINV(RAND(),最终结果!$I$8,最终结果!$E$8),0)</f>
        <v>134</v>
      </c>
      <c r="F371">
        <f ca="1">ROUND(NORMINV(RAND(),最终结果!$I$12,最终结果!$E$12),0)</f>
        <v>136</v>
      </c>
      <c r="G371" t="str">
        <f t="shared" ca="1" si="12"/>
        <v>Home</v>
      </c>
      <c r="H371" t="str">
        <f ca="1">IF(E371+最终结果!$G$8&gt;simulation!F371,"W","L")</f>
        <v>W</v>
      </c>
      <c r="I371" t="str">
        <f ca="1">IF(F371+最终结果!$G$12&gt;simulation!E371,"W","L")</f>
        <v>L</v>
      </c>
      <c r="J371" t="str">
        <f ca="1">IF((E371+F371)&gt;最终结果!$H$8,"Over","Under")</f>
        <v>Over</v>
      </c>
    </row>
    <row r="372" spans="3:10" x14ac:dyDescent="0.25">
      <c r="C372">
        <v>371</v>
      </c>
      <c r="D372" t="str">
        <f t="shared" ca="1" si="11"/>
        <v>-1</v>
      </c>
      <c r="E372">
        <f ca="1">ROUND(NORMINV(RAND(),最终结果!$I$8,最终结果!$E$8),0)</f>
        <v>125</v>
      </c>
      <c r="F372">
        <f ca="1">ROUND(NORMINV(RAND(),最终结果!$I$12,最终结果!$E$12),0)</f>
        <v>138</v>
      </c>
      <c r="G372" t="str">
        <f t="shared" ca="1" si="12"/>
        <v>Home</v>
      </c>
      <c r="H372" t="str">
        <f ca="1">IF(E372+最终结果!$G$8&gt;simulation!F372,"W","L")</f>
        <v>L</v>
      </c>
      <c r="I372" t="str">
        <f ca="1">IF(F372+最终结果!$G$12&gt;simulation!E372,"W","L")</f>
        <v>W</v>
      </c>
      <c r="J372" t="str">
        <f ca="1">IF((E372+F372)&gt;最终结果!$H$8,"Over","Under")</f>
        <v>Over</v>
      </c>
    </row>
    <row r="373" spans="3:10" x14ac:dyDescent="0.25">
      <c r="C373">
        <v>372</v>
      </c>
      <c r="D373" t="str">
        <f t="shared" ca="1" si="11"/>
        <v>-1</v>
      </c>
      <c r="E373">
        <f ca="1">ROUND(NORMINV(RAND(),最终结果!$I$8,最终结果!$E$8),0)</f>
        <v>116</v>
      </c>
      <c r="F373">
        <f ca="1">ROUND(NORMINV(RAND(),最终结果!$I$12,最终结果!$E$12),0)</f>
        <v>119</v>
      </c>
      <c r="G373" t="str">
        <f t="shared" ca="1" si="12"/>
        <v>Home</v>
      </c>
      <c r="H373" t="str">
        <f ca="1">IF(E373+最终结果!$G$8&gt;simulation!F373,"W","L")</f>
        <v>L</v>
      </c>
      <c r="I373" t="str">
        <f ca="1">IF(F373+最终结果!$G$12&gt;simulation!E373,"W","L")</f>
        <v>L</v>
      </c>
      <c r="J373" t="str">
        <f ca="1">IF((E373+F373)&gt;最终结果!$H$8,"Over","Under")</f>
        <v>Under</v>
      </c>
    </row>
    <row r="374" spans="3:10" x14ac:dyDescent="0.25">
      <c r="C374">
        <v>373</v>
      </c>
      <c r="D374" t="str">
        <f t="shared" ca="1" si="11"/>
        <v>1</v>
      </c>
      <c r="E374">
        <f ca="1">ROUND(NORMINV(RAND(),最终结果!$I$8,最终结果!$E$8),0)</f>
        <v>117</v>
      </c>
      <c r="F374">
        <f ca="1">ROUND(NORMINV(RAND(),最终结果!$I$12,最终结果!$E$12),0)</f>
        <v>108</v>
      </c>
      <c r="G374" t="str">
        <f t="shared" ca="1" si="12"/>
        <v>Away</v>
      </c>
      <c r="H374" t="str">
        <f ca="1">IF(E374+最终结果!$G$8&gt;simulation!F374,"W","L")</f>
        <v>W</v>
      </c>
      <c r="I374" t="str">
        <f ca="1">IF(F374+最终结果!$G$12&gt;simulation!E374,"W","L")</f>
        <v>L</v>
      </c>
      <c r="J374" t="str">
        <f ca="1">IF((E374+F374)&gt;最终结果!$H$8,"Over","Under")</f>
        <v>Under</v>
      </c>
    </row>
    <row r="375" spans="3:10" x14ac:dyDescent="0.25">
      <c r="C375">
        <v>374</v>
      </c>
      <c r="D375" t="str">
        <f t="shared" ca="1" si="11"/>
        <v>1</v>
      </c>
      <c r="E375">
        <f ca="1">ROUND(NORMINV(RAND(),最终结果!$I$8,最终结果!$E$8),0)</f>
        <v>119</v>
      </c>
      <c r="F375">
        <f ca="1">ROUND(NORMINV(RAND(),最终结果!$I$12,最终结果!$E$12),0)</f>
        <v>111</v>
      </c>
      <c r="G375" t="str">
        <f t="shared" ca="1" si="12"/>
        <v>Away</v>
      </c>
      <c r="H375" t="str">
        <f ca="1">IF(E375+最终结果!$G$8&gt;simulation!F375,"W","L")</f>
        <v>W</v>
      </c>
      <c r="I375" t="str">
        <f ca="1">IF(F375+最终结果!$G$12&gt;simulation!E375,"W","L")</f>
        <v>L</v>
      </c>
      <c r="J375" t="str">
        <f ca="1">IF((E375+F375)&gt;最终结果!$H$8,"Over","Under")</f>
        <v>Under</v>
      </c>
    </row>
    <row r="376" spans="3:10" x14ac:dyDescent="0.25">
      <c r="C376">
        <v>375</v>
      </c>
      <c r="D376" t="str">
        <f t="shared" ca="1" si="11"/>
        <v>1</v>
      </c>
      <c r="E376">
        <f ca="1">ROUND(NORMINV(RAND(),最终结果!$I$8,最终结果!$E$8),0)</f>
        <v>120</v>
      </c>
      <c r="F376">
        <f ca="1">ROUND(NORMINV(RAND(),最终结果!$I$12,最终结果!$E$12),0)</f>
        <v>119</v>
      </c>
      <c r="G376" t="str">
        <f t="shared" ca="1" si="12"/>
        <v>Away</v>
      </c>
      <c r="H376" t="str">
        <f ca="1">IF(E376+最终结果!$G$8&gt;simulation!F376,"W","L")</f>
        <v>W</v>
      </c>
      <c r="I376" t="str">
        <f ca="1">IF(F376+最终结果!$G$12&gt;simulation!E376,"W","L")</f>
        <v>L</v>
      </c>
      <c r="J376" t="str">
        <f ca="1">IF((E376+F376)&gt;最终结果!$H$8,"Over","Under")</f>
        <v>Over</v>
      </c>
    </row>
    <row r="377" spans="3:10" x14ac:dyDescent="0.25">
      <c r="C377">
        <v>376</v>
      </c>
      <c r="D377" t="str">
        <f t="shared" ca="1" si="11"/>
        <v>1</v>
      </c>
      <c r="E377">
        <f ca="1">ROUND(NORMINV(RAND(),最终结果!$I$8,最终结果!$E$8),0)</f>
        <v>136</v>
      </c>
      <c r="F377">
        <f ca="1">ROUND(NORMINV(RAND(),最终结果!$I$12,最终结果!$E$12),0)</f>
        <v>108</v>
      </c>
      <c r="G377" t="str">
        <f t="shared" ca="1" si="12"/>
        <v>Away</v>
      </c>
      <c r="H377" t="str">
        <f ca="1">IF(E377+最终结果!$G$8&gt;simulation!F377,"W","L")</f>
        <v>W</v>
      </c>
      <c r="I377" t="str">
        <f ca="1">IF(F377+最终结果!$G$12&gt;simulation!E377,"W","L")</f>
        <v>L</v>
      </c>
      <c r="J377" t="str">
        <f ca="1">IF((E377+F377)&gt;最终结果!$H$8,"Over","Under")</f>
        <v>Over</v>
      </c>
    </row>
    <row r="378" spans="3:10" x14ac:dyDescent="0.25">
      <c r="C378">
        <v>377</v>
      </c>
      <c r="D378" t="str">
        <f t="shared" ca="1" si="11"/>
        <v>1</v>
      </c>
      <c r="E378">
        <f ca="1">ROUND(NORMINV(RAND(),最终结果!$I$8,最终结果!$E$8),0)</f>
        <v>113</v>
      </c>
      <c r="F378">
        <f ca="1">ROUND(NORMINV(RAND(),最终结果!$I$12,最终结果!$E$12),0)</f>
        <v>102</v>
      </c>
      <c r="G378" t="str">
        <f t="shared" ca="1" si="12"/>
        <v>Away</v>
      </c>
      <c r="H378" t="str">
        <f ca="1">IF(E378+最终结果!$G$8&gt;simulation!F378,"W","L")</f>
        <v>W</v>
      </c>
      <c r="I378" t="str">
        <f ca="1">IF(F378+最终结果!$G$12&gt;simulation!E378,"W","L")</f>
        <v>L</v>
      </c>
      <c r="J378" t="str">
        <f ca="1">IF((E378+F378)&gt;最终结果!$H$8,"Over","Under")</f>
        <v>Under</v>
      </c>
    </row>
    <row r="379" spans="3:10" x14ac:dyDescent="0.25">
      <c r="C379">
        <v>378</v>
      </c>
      <c r="D379" t="str">
        <f t="shared" ca="1" si="11"/>
        <v>-1</v>
      </c>
      <c r="E379">
        <f ca="1">ROUND(NORMINV(RAND(),最终结果!$I$8,最终结果!$E$8),0)</f>
        <v>104</v>
      </c>
      <c r="F379">
        <f ca="1">ROUND(NORMINV(RAND(),最终结果!$I$12,最终结果!$E$12),0)</f>
        <v>113</v>
      </c>
      <c r="G379" t="str">
        <f t="shared" ca="1" si="12"/>
        <v>Home</v>
      </c>
      <c r="H379" t="str">
        <f ca="1">IF(E379+最终结果!$G$8&gt;simulation!F379,"W","L")</f>
        <v>L</v>
      </c>
      <c r="I379" t="str">
        <f ca="1">IF(F379+最终结果!$G$12&gt;simulation!E379,"W","L")</f>
        <v>W</v>
      </c>
      <c r="J379" t="str">
        <f ca="1">IF((E379+F379)&gt;最终结果!$H$8,"Over","Under")</f>
        <v>Under</v>
      </c>
    </row>
    <row r="380" spans="3:10" x14ac:dyDescent="0.25">
      <c r="C380">
        <v>379</v>
      </c>
      <c r="D380">
        <f t="shared" ca="1" si="11"/>
        <v>0</v>
      </c>
      <c r="E380">
        <f ca="1">ROUND(NORMINV(RAND(),最终结果!$I$8,最终结果!$E$8),0)</f>
        <v>112</v>
      </c>
      <c r="F380">
        <f ca="1">ROUND(NORMINV(RAND(),最终结果!$I$12,最终结果!$E$12),0)</f>
        <v>112</v>
      </c>
      <c r="G380" t="str">
        <f t="shared" ca="1" si="12"/>
        <v>OT</v>
      </c>
      <c r="H380" t="str">
        <f ca="1">IF(E380+最终结果!$G$8&gt;simulation!F380,"W","L")</f>
        <v>W</v>
      </c>
      <c r="I380" t="str">
        <f ca="1">IF(F380+最终结果!$G$12&gt;simulation!E380,"W","L")</f>
        <v>L</v>
      </c>
      <c r="J380" t="str">
        <f ca="1">IF((E380+F380)&gt;最终结果!$H$8,"Over","Under")</f>
        <v>Under</v>
      </c>
    </row>
    <row r="381" spans="3:10" x14ac:dyDescent="0.25">
      <c r="C381">
        <v>380</v>
      </c>
      <c r="D381" t="str">
        <f t="shared" ca="1" si="11"/>
        <v>1</v>
      </c>
      <c r="E381">
        <f ca="1">ROUND(NORMINV(RAND(),最终结果!$I$8,最终结果!$E$8),0)</f>
        <v>123</v>
      </c>
      <c r="F381">
        <f ca="1">ROUND(NORMINV(RAND(),最终结果!$I$12,最终结果!$E$12),0)</f>
        <v>114</v>
      </c>
      <c r="G381" t="str">
        <f t="shared" ca="1" si="12"/>
        <v>Away</v>
      </c>
      <c r="H381" t="str">
        <f ca="1">IF(E381+最终结果!$G$8&gt;simulation!F381,"W","L")</f>
        <v>W</v>
      </c>
      <c r="I381" t="str">
        <f ca="1">IF(F381+最终结果!$G$12&gt;simulation!E381,"W","L")</f>
        <v>L</v>
      </c>
      <c r="J381" t="str">
        <f ca="1">IF((E381+F381)&gt;最终结果!$H$8,"Over","Under")</f>
        <v>Under</v>
      </c>
    </row>
    <row r="382" spans="3:10" x14ac:dyDescent="0.25">
      <c r="C382">
        <v>381</v>
      </c>
      <c r="D382" t="str">
        <f t="shared" ca="1" si="11"/>
        <v>1</v>
      </c>
      <c r="E382">
        <f ca="1">ROUND(NORMINV(RAND(),最终结果!$I$8,最终结果!$E$8),0)</f>
        <v>123</v>
      </c>
      <c r="F382">
        <f ca="1">ROUND(NORMINV(RAND(),最终结果!$I$12,最终结果!$E$12),0)</f>
        <v>122</v>
      </c>
      <c r="G382" t="str">
        <f t="shared" ca="1" si="12"/>
        <v>Away</v>
      </c>
      <c r="H382" t="str">
        <f ca="1">IF(E382+最终结果!$G$8&gt;simulation!F382,"W","L")</f>
        <v>W</v>
      </c>
      <c r="I382" t="str">
        <f ca="1">IF(F382+最终结果!$G$12&gt;simulation!E382,"W","L")</f>
        <v>L</v>
      </c>
      <c r="J382" t="str">
        <f ca="1">IF((E382+F382)&gt;最终结果!$H$8,"Over","Under")</f>
        <v>Over</v>
      </c>
    </row>
    <row r="383" spans="3:10" x14ac:dyDescent="0.25">
      <c r="C383">
        <v>382</v>
      </c>
      <c r="D383" t="str">
        <f t="shared" ca="1" si="11"/>
        <v>-1</v>
      </c>
      <c r="E383">
        <f ca="1">ROUND(NORMINV(RAND(),最终结果!$I$8,最终结果!$E$8),0)</f>
        <v>119</v>
      </c>
      <c r="F383">
        <f ca="1">ROUND(NORMINV(RAND(),最终结果!$I$12,最终结果!$E$12),0)</f>
        <v>121</v>
      </c>
      <c r="G383" t="str">
        <f t="shared" ca="1" si="12"/>
        <v>Home</v>
      </c>
      <c r="H383" t="str">
        <f ca="1">IF(E383+最终结果!$G$8&gt;simulation!F383,"W","L")</f>
        <v>W</v>
      </c>
      <c r="I383" t="str">
        <f ca="1">IF(F383+最终结果!$G$12&gt;simulation!E383,"W","L")</f>
        <v>L</v>
      </c>
      <c r="J383" t="str">
        <f ca="1">IF((E383+F383)&gt;最终结果!$H$8,"Over","Under")</f>
        <v>Over</v>
      </c>
    </row>
    <row r="384" spans="3:10" x14ac:dyDescent="0.25">
      <c r="C384">
        <v>383</v>
      </c>
      <c r="D384" t="str">
        <f t="shared" ca="1" si="11"/>
        <v>-1</v>
      </c>
      <c r="E384">
        <f ca="1">ROUND(NORMINV(RAND(),最终结果!$I$8,最终结果!$E$8),0)</f>
        <v>90</v>
      </c>
      <c r="F384">
        <f ca="1">ROUND(NORMINV(RAND(),最终结果!$I$12,最终结果!$E$12),0)</f>
        <v>118</v>
      </c>
      <c r="G384" t="str">
        <f t="shared" ca="1" si="12"/>
        <v>Home</v>
      </c>
      <c r="H384" t="str">
        <f ca="1">IF(E384+最终结果!$G$8&gt;simulation!F384,"W","L")</f>
        <v>L</v>
      </c>
      <c r="I384" t="str">
        <f ca="1">IF(F384+最终结果!$G$12&gt;simulation!E384,"W","L")</f>
        <v>W</v>
      </c>
      <c r="J384" t="str">
        <f ca="1">IF((E384+F384)&gt;最终结果!$H$8,"Over","Under")</f>
        <v>Under</v>
      </c>
    </row>
    <row r="385" spans="3:10" x14ac:dyDescent="0.25">
      <c r="C385">
        <v>384</v>
      </c>
      <c r="D385" t="str">
        <f t="shared" ca="1" si="11"/>
        <v>-1</v>
      </c>
      <c r="E385">
        <f ca="1">ROUND(NORMINV(RAND(),最终结果!$I$8,最终结果!$E$8),0)</f>
        <v>105</v>
      </c>
      <c r="F385">
        <f ca="1">ROUND(NORMINV(RAND(),最终结果!$I$12,最终结果!$E$12),0)</f>
        <v>117</v>
      </c>
      <c r="G385" t="str">
        <f t="shared" ca="1" si="12"/>
        <v>Home</v>
      </c>
      <c r="H385" t="str">
        <f ca="1">IF(E385+最终结果!$G$8&gt;simulation!F385,"W","L")</f>
        <v>L</v>
      </c>
      <c r="I385" t="str">
        <f ca="1">IF(F385+最终结果!$G$12&gt;simulation!E385,"W","L")</f>
        <v>W</v>
      </c>
      <c r="J385" t="str">
        <f ca="1">IF((E385+F385)&gt;最终结果!$H$8,"Over","Under")</f>
        <v>Under</v>
      </c>
    </row>
    <row r="386" spans="3:10" x14ac:dyDescent="0.25">
      <c r="C386">
        <v>385</v>
      </c>
      <c r="D386" t="str">
        <f t="shared" ca="1" si="11"/>
        <v>1</v>
      </c>
      <c r="E386">
        <f ca="1">ROUND(NORMINV(RAND(),最终结果!$I$8,最终结果!$E$8),0)</f>
        <v>103</v>
      </c>
      <c r="F386">
        <f ca="1">ROUND(NORMINV(RAND(),最终结果!$I$12,最终结果!$E$12),0)</f>
        <v>100</v>
      </c>
      <c r="G386" t="str">
        <f t="shared" ca="1" si="12"/>
        <v>Away</v>
      </c>
      <c r="H386" t="str">
        <f ca="1">IF(E386+最终结果!$G$8&gt;simulation!F386,"W","L")</f>
        <v>W</v>
      </c>
      <c r="I386" t="str">
        <f ca="1">IF(F386+最终结果!$G$12&gt;simulation!E386,"W","L")</f>
        <v>L</v>
      </c>
      <c r="J386" t="str">
        <f ca="1">IF((E386+F386)&gt;最终结果!$H$8,"Over","Under")</f>
        <v>Under</v>
      </c>
    </row>
    <row r="387" spans="3:10" x14ac:dyDescent="0.25">
      <c r="C387">
        <v>386</v>
      </c>
      <c r="D387" t="str">
        <f t="shared" ref="D387:D450" ca="1" si="13">IF(E387=F387,0,IF(E387&gt;F387,"1","-1"))</f>
        <v>1</v>
      </c>
      <c r="E387">
        <f ca="1">ROUND(NORMINV(RAND(),最终结果!$I$8,最终结果!$E$8),0)</f>
        <v>120</v>
      </c>
      <c r="F387">
        <f ca="1">ROUND(NORMINV(RAND(),最终结果!$I$12,最终结果!$E$12),0)</f>
        <v>112</v>
      </c>
      <c r="G387" t="str">
        <f t="shared" ca="1" si="12"/>
        <v>Away</v>
      </c>
      <c r="H387" t="str">
        <f ca="1">IF(E387+最终结果!$G$8&gt;simulation!F387,"W","L")</f>
        <v>W</v>
      </c>
      <c r="I387" t="str">
        <f ca="1">IF(F387+最终结果!$G$12&gt;simulation!E387,"W","L")</f>
        <v>L</v>
      </c>
      <c r="J387" t="str">
        <f ca="1">IF((E387+F387)&gt;最终结果!$H$8,"Over","Under")</f>
        <v>Under</v>
      </c>
    </row>
    <row r="388" spans="3:10" x14ac:dyDescent="0.25">
      <c r="C388">
        <v>387</v>
      </c>
      <c r="D388" t="str">
        <f t="shared" ca="1" si="13"/>
        <v>1</v>
      </c>
      <c r="E388">
        <f ca="1">ROUND(NORMINV(RAND(),最终结果!$I$8,最终结果!$E$8),0)</f>
        <v>139</v>
      </c>
      <c r="F388">
        <f ca="1">ROUND(NORMINV(RAND(),最终结果!$I$12,最终结果!$E$12),0)</f>
        <v>107</v>
      </c>
      <c r="G388" t="str">
        <f t="shared" ca="1" si="12"/>
        <v>Away</v>
      </c>
      <c r="H388" t="str">
        <f ca="1">IF(E388+最终结果!$G$8&gt;simulation!F388,"W","L")</f>
        <v>W</v>
      </c>
      <c r="I388" t="str">
        <f ca="1">IF(F388+最终结果!$G$12&gt;simulation!E388,"W","L")</f>
        <v>L</v>
      </c>
      <c r="J388" t="str">
        <f ca="1">IF((E388+F388)&gt;最终结果!$H$8,"Over","Under")</f>
        <v>Over</v>
      </c>
    </row>
    <row r="389" spans="3:10" x14ac:dyDescent="0.25">
      <c r="C389">
        <v>388</v>
      </c>
      <c r="D389" t="str">
        <f t="shared" ca="1" si="13"/>
        <v>1</v>
      </c>
      <c r="E389">
        <f ca="1">ROUND(NORMINV(RAND(),最终结果!$I$8,最终结果!$E$8),0)</f>
        <v>117</v>
      </c>
      <c r="F389">
        <f ca="1">ROUND(NORMINV(RAND(),最终结果!$I$12,最终结果!$E$12),0)</f>
        <v>111</v>
      </c>
      <c r="G389" t="str">
        <f t="shared" ca="1" si="12"/>
        <v>Away</v>
      </c>
      <c r="H389" t="str">
        <f ca="1">IF(E389+最终结果!$G$8&gt;simulation!F389,"W","L")</f>
        <v>W</v>
      </c>
      <c r="I389" t="str">
        <f ca="1">IF(F389+最终结果!$G$12&gt;simulation!E389,"W","L")</f>
        <v>L</v>
      </c>
      <c r="J389" t="str">
        <f ca="1">IF((E389+F389)&gt;最终结果!$H$8,"Over","Under")</f>
        <v>Under</v>
      </c>
    </row>
    <row r="390" spans="3:10" x14ac:dyDescent="0.25">
      <c r="C390">
        <v>389</v>
      </c>
      <c r="D390" t="str">
        <f t="shared" ca="1" si="13"/>
        <v>-1</v>
      </c>
      <c r="E390">
        <f ca="1">ROUND(NORMINV(RAND(),最终结果!$I$8,最终结果!$E$8),0)</f>
        <v>109</v>
      </c>
      <c r="F390">
        <f ca="1">ROUND(NORMINV(RAND(),最终结果!$I$12,最终结果!$E$12),0)</f>
        <v>128</v>
      </c>
      <c r="G390" t="str">
        <f t="shared" ca="1" si="12"/>
        <v>Home</v>
      </c>
      <c r="H390" t="str">
        <f ca="1">IF(E390+最终结果!$G$8&gt;simulation!F390,"W","L")</f>
        <v>L</v>
      </c>
      <c r="I390" t="str">
        <f ca="1">IF(F390+最终结果!$G$12&gt;simulation!E390,"W","L")</f>
        <v>W</v>
      </c>
      <c r="J390" t="str">
        <f ca="1">IF((E390+F390)&gt;最终结果!$H$8,"Over","Under")</f>
        <v>Under</v>
      </c>
    </row>
    <row r="391" spans="3:10" x14ac:dyDescent="0.25">
      <c r="C391">
        <v>390</v>
      </c>
      <c r="D391" t="str">
        <f t="shared" ca="1" si="13"/>
        <v>-1</v>
      </c>
      <c r="E391">
        <f ca="1">ROUND(NORMINV(RAND(),最终结果!$I$8,最终结果!$E$8),0)</f>
        <v>106</v>
      </c>
      <c r="F391">
        <f ca="1">ROUND(NORMINV(RAND(),最终结果!$I$12,最终结果!$E$12),0)</f>
        <v>124</v>
      </c>
      <c r="G391" t="str">
        <f t="shared" ca="1" si="12"/>
        <v>Home</v>
      </c>
      <c r="H391" t="str">
        <f ca="1">IF(E391+最终结果!$G$8&gt;simulation!F391,"W","L")</f>
        <v>L</v>
      </c>
      <c r="I391" t="str">
        <f ca="1">IF(F391+最终结果!$G$12&gt;simulation!E391,"W","L")</f>
        <v>W</v>
      </c>
      <c r="J391" t="str">
        <f ca="1">IF((E391+F391)&gt;最终结果!$H$8,"Over","Under")</f>
        <v>Under</v>
      </c>
    </row>
    <row r="392" spans="3:10" x14ac:dyDescent="0.25">
      <c r="C392">
        <v>391</v>
      </c>
      <c r="D392" t="str">
        <f t="shared" ca="1" si="13"/>
        <v>-1</v>
      </c>
      <c r="E392">
        <f ca="1">ROUND(NORMINV(RAND(),最终结果!$I$8,最终结果!$E$8),0)</f>
        <v>85</v>
      </c>
      <c r="F392">
        <f ca="1">ROUND(NORMINV(RAND(),最终结果!$I$12,最终结果!$E$12),0)</f>
        <v>110</v>
      </c>
      <c r="G392" t="str">
        <f t="shared" ca="1" si="12"/>
        <v>Home</v>
      </c>
      <c r="H392" t="str">
        <f ca="1">IF(E392+最终结果!$G$8&gt;simulation!F392,"W","L")</f>
        <v>L</v>
      </c>
      <c r="I392" t="str">
        <f ca="1">IF(F392+最终结果!$G$12&gt;simulation!E392,"W","L")</f>
        <v>W</v>
      </c>
      <c r="J392" t="str">
        <f ca="1">IF((E392+F392)&gt;最终结果!$H$8,"Over","Under")</f>
        <v>Under</v>
      </c>
    </row>
    <row r="393" spans="3:10" x14ac:dyDescent="0.25">
      <c r="C393">
        <v>392</v>
      </c>
      <c r="D393" t="str">
        <f t="shared" ca="1" si="13"/>
        <v>1</v>
      </c>
      <c r="E393">
        <f ca="1">ROUND(NORMINV(RAND(),最终结果!$I$8,最终结果!$E$8),0)</f>
        <v>110</v>
      </c>
      <c r="F393">
        <f ca="1">ROUND(NORMINV(RAND(),最终结果!$I$12,最终结果!$E$12),0)</f>
        <v>108</v>
      </c>
      <c r="G393" t="str">
        <f t="shared" ca="1" si="12"/>
        <v>Away</v>
      </c>
      <c r="H393" t="str">
        <f ca="1">IF(E393+最终结果!$G$8&gt;simulation!F393,"W","L")</f>
        <v>W</v>
      </c>
      <c r="I393" t="str">
        <f ca="1">IF(F393+最终结果!$G$12&gt;simulation!E393,"W","L")</f>
        <v>L</v>
      </c>
      <c r="J393" t="str">
        <f ca="1">IF((E393+F393)&gt;最终结果!$H$8,"Over","Under")</f>
        <v>Under</v>
      </c>
    </row>
    <row r="394" spans="3:10" x14ac:dyDescent="0.25">
      <c r="C394">
        <v>393</v>
      </c>
      <c r="D394" t="str">
        <f t="shared" ca="1" si="13"/>
        <v>-1</v>
      </c>
      <c r="E394">
        <f ca="1">ROUND(NORMINV(RAND(),最终结果!$I$8,最终结果!$E$8),0)</f>
        <v>113</v>
      </c>
      <c r="F394">
        <f ca="1">ROUND(NORMINV(RAND(),最终结果!$I$12,最终结果!$E$12),0)</f>
        <v>126</v>
      </c>
      <c r="G394" t="str">
        <f t="shared" ca="1" si="12"/>
        <v>Home</v>
      </c>
      <c r="H394" t="str">
        <f ca="1">IF(E394+最终结果!$G$8&gt;simulation!F394,"W","L")</f>
        <v>L</v>
      </c>
      <c r="I394" t="str">
        <f ca="1">IF(F394+最终结果!$G$12&gt;simulation!E394,"W","L")</f>
        <v>W</v>
      </c>
      <c r="J394" t="str">
        <f ca="1">IF((E394+F394)&gt;最终结果!$H$8,"Over","Under")</f>
        <v>Over</v>
      </c>
    </row>
    <row r="395" spans="3:10" x14ac:dyDescent="0.25">
      <c r="C395">
        <v>394</v>
      </c>
      <c r="D395" t="str">
        <f t="shared" ca="1" si="13"/>
        <v>1</v>
      </c>
      <c r="E395">
        <f ca="1">ROUND(NORMINV(RAND(),最终结果!$I$8,最终结果!$E$8),0)</f>
        <v>102</v>
      </c>
      <c r="F395">
        <f ca="1">ROUND(NORMINV(RAND(),最终结果!$I$12,最终结果!$E$12),0)</f>
        <v>96</v>
      </c>
      <c r="G395" t="str">
        <f t="shared" ca="1" si="12"/>
        <v>Away</v>
      </c>
      <c r="H395" t="str">
        <f ca="1">IF(E395+最终结果!$G$8&gt;simulation!F395,"W","L")</f>
        <v>W</v>
      </c>
      <c r="I395" t="str">
        <f ca="1">IF(F395+最终结果!$G$12&gt;simulation!E395,"W","L")</f>
        <v>L</v>
      </c>
      <c r="J395" t="str">
        <f ca="1">IF((E395+F395)&gt;最终结果!$H$8,"Over","Under")</f>
        <v>Under</v>
      </c>
    </row>
    <row r="396" spans="3:10" x14ac:dyDescent="0.25">
      <c r="C396">
        <v>395</v>
      </c>
      <c r="D396" t="str">
        <f t="shared" ca="1" si="13"/>
        <v>-1</v>
      </c>
      <c r="E396">
        <f ca="1">ROUND(NORMINV(RAND(),最终结果!$I$8,最终结果!$E$8),0)</f>
        <v>100</v>
      </c>
      <c r="F396">
        <f ca="1">ROUND(NORMINV(RAND(),最终结果!$I$12,最终结果!$E$12),0)</f>
        <v>112</v>
      </c>
      <c r="G396" t="str">
        <f t="shared" ca="1" si="12"/>
        <v>Home</v>
      </c>
      <c r="H396" t="str">
        <f ca="1">IF(E396+最终结果!$G$8&gt;simulation!F396,"W","L")</f>
        <v>L</v>
      </c>
      <c r="I396" t="str">
        <f ca="1">IF(F396+最终结果!$G$12&gt;simulation!E396,"W","L")</f>
        <v>W</v>
      </c>
      <c r="J396" t="str">
        <f ca="1">IF((E396+F396)&gt;最终结果!$H$8,"Over","Under")</f>
        <v>Under</v>
      </c>
    </row>
    <row r="397" spans="3:10" x14ac:dyDescent="0.25">
      <c r="C397">
        <v>396</v>
      </c>
      <c r="D397">
        <f t="shared" ca="1" si="13"/>
        <v>0</v>
      </c>
      <c r="E397">
        <f ca="1">ROUND(NORMINV(RAND(),最终结果!$I$8,最终结果!$E$8),0)</f>
        <v>114</v>
      </c>
      <c r="F397">
        <f ca="1">ROUND(NORMINV(RAND(),最终结果!$I$12,最终结果!$E$12),0)</f>
        <v>114</v>
      </c>
      <c r="G397" t="str">
        <f t="shared" ca="1" si="12"/>
        <v>OT</v>
      </c>
      <c r="H397" t="str">
        <f ca="1">IF(E397+最终结果!$G$8&gt;simulation!F397,"W","L")</f>
        <v>W</v>
      </c>
      <c r="I397" t="str">
        <f ca="1">IF(F397+最终结果!$G$12&gt;simulation!E397,"W","L")</f>
        <v>L</v>
      </c>
      <c r="J397" t="str">
        <f ca="1">IF((E397+F397)&gt;最终结果!$H$8,"Over","Under")</f>
        <v>Under</v>
      </c>
    </row>
    <row r="398" spans="3:10" x14ac:dyDescent="0.25">
      <c r="C398">
        <v>397</v>
      </c>
      <c r="D398" t="str">
        <f t="shared" ca="1" si="13"/>
        <v>-1</v>
      </c>
      <c r="E398">
        <f ca="1">ROUND(NORMINV(RAND(),最终结果!$I$8,最终结果!$E$8),0)</f>
        <v>95</v>
      </c>
      <c r="F398">
        <f ca="1">ROUND(NORMINV(RAND(),最终结果!$I$12,最终结果!$E$12),0)</f>
        <v>103</v>
      </c>
      <c r="G398" t="str">
        <f t="shared" ref="G398:G461" ca="1" si="14">IF(E398=F398,"OT",IF(E398&gt;F398,"Away","Home"))</f>
        <v>Home</v>
      </c>
      <c r="H398" t="str">
        <f ca="1">IF(E398+最终结果!$G$8&gt;simulation!F398,"W","L")</f>
        <v>L</v>
      </c>
      <c r="I398" t="str">
        <f ca="1">IF(F398+最终结果!$G$12&gt;simulation!E398,"W","L")</f>
        <v>W</v>
      </c>
      <c r="J398" t="str">
        <f ca="1">IF((E398+F398)&gt;最终结果!$H$8,"Over","Under")</f>
        <v>Under</v>
      </c>
    </row>
    <row r="399" spans="3:10" x14ac:dyDescent="0.25">
      <c r="C399">
        <v>398</v>
      </c>
      <c r="D399" t="str">
        <f t="shared" ca="1" si="13"/>
        <v>-1</v>
      </c>
      <c r="E399">
        <f ca="1">ROUND(NORMINV(RAND(),最终结果!$I$8,最终结果!$E$8),0)</f>
        <v>100</v>
      </c>
      <c r="F399">
        <f ca="1">ROUND(NORMINV(RAND(),最终结果!$I$12,最终结果!$E$12),0)</f>
        <v>127</v>
      </c>
      <c r="G399" t="str">
        <f t="shared" ca="1" si="14"/>
        <v>Home</v>
      </c>
      <c r="H399" t="str">
        <f ca="1">IF(E399+最终结果!$G$8&gt;simulation!F399,"W","L")</f>
        <v>L</v>
      </c>
      <c r="I399" t="str">
        <f ca="1">IF(F399+最终结果!$G$12&gt;simulation!E399,"W","L")</f>
        <v>W</v>
      </c>
      <c r="J399" t="str">
        <f ca="1">IF((E399+F399)&gt;最终结果!$H$8,"Over","Under")</f>
        <v>Under</v>
      </c>
    </row>
    <row r="400" spans="3:10" x14ac:dyDescent="0.25">
      <c r="C400">
        <v>399</v>
      </c>
      <c r="D400" t="str">
        <f t="shared" ca="1" si="13"/>
        <v>1</v>
      </c>
      <c r="E400">
        <f ca="1">ROUND(NORMINV(RAND(),最终结果!$I$8,最终结果!$E$8),0)</f>
        <v>116</v>
      </c>
      <c r="F400">
        <f ca="1">ROUND(NORMINV(RAND(),最终结果!$I$12,最终结果!$E$12),0)</f>
        <v>113</v>
      </c>
      <c r="G400" t="str">
        <f t="shared" ca="1" si="14"/>
        <v>Away</v>
      </c>
      <c r="H400" t="str">
        <f ca="1">IF(E400+最终结果!$G$8&gt;simulation!F400,"W","L")</f>
        <v>W</v>
      </c>
      <c r="I400" t="str">
        <f ca="1">IF(F400+最终结果!$G$12&gt;simulation!E400,"W","L")</f>
        <v>L</v>
      </c>
      <c r="J400" t="str">
        <f ca="1">IF((E400+F400)&gt;最终结果!$H$8,"Over","Under")</f>
        <v>Under</v>
      </c>
    </row>
    <row r="401" spans="3:10" x14ac:dyDescent="0.25">
      <c r="C401">
        <v>400</v>
      </c>
      <c r="D401" t="str">
        <f t="shared" ca="1" si="13"/>
        <v>1</v>
      </c>
      <c r="E401">
        <f ca="1">ROUND(NORMINV(RAND(),最终结果!$I$8,最终结果!$E$8),0)</f>
        <v>129</v>
      </c>
      <c r="F401">
        <f ca="1">ROUND(NORMINV(RAND(),最终结果!$I$12,最终结果!$E$12),0)</f>
        <v>114</v>
      </c>
      <c r="G401" t="str">
        <f t="shared" ca="1" si="14"/>
        <v>Away</v>
      </c>
      <c r="H401" t="str">
        <f ca="1">IF(E401+最终结果!$G$8&gt;simulation!F401,"W","L")</f>
        <v>W</v>
      </c>
      <c r="I401" t="str">
        <f ca="1">IF(F401+最终结果!$G$12&gt;simulation!E401,"W","L")</f>
        <v>L</v>
      </c>
      <c r="J401" t="str">
        <f ca="1">IF((E401+F401)&gt;最终结果!$H$8,"Over","Under")</f>
        <v>Over</v>
      </c>
    </row>
    <row r="402" spans="3:10" x14ac:dyDescent="0.25">
      <c r="C402">
        <v>401</v>
      </c>
      <c r="D402" t="str">
        <f t="shared" ca="1" si="13"/>
        <v>1</v>
      </c>
      <c r="E402">
        <f ca="1">ROUND(NORMINV(RAND(),最终结果!$I$8,最终结果!$E$8),0)</f>
        <v>135</v>
      </c>
      <c r="F402">
        <f ca="1">ROUND(NORMINV(RAND(),最终结果!$I$12,最终结果!$E$12),0)</f>
        <v>106</v>
      </c>
      <c r="G402" t="str">
        <f t="shared" ca="1" si="14"/>
        <v>Away</v>
      </c>
      <c r="H402" t="str">
        <f ca="1">IF(E402+最终结果!$G$8&gt;simulation!F402,"W","L")</f>
        <v>W</v>
      </c>
      <c r="I402" t="str">
        <f ca="1">IF(F402+最终结果!$G$12&gt;simulation!E402,"W","L")</f>
        <v>L</v>
      </c>
      <c r="J402" t="str">
        <f ca="1">IF((E402+F402)&gt;最终结果!$H$8,"Over","Under")</f>
        <v>Over</v>
      </c>
    </row>
    <row r="403" spans="3:10" x14ac:dyDescent="0.25">
      <c r="C403">
        <v>402</v>
      </c>
      <c r="D403" t="str">
        <f t="shared" ca="1" si="13"/>
        <v>-1</v>
      </c>
      <c r="E403">
        <f ca="1">ROUND(NORMINV(RAND(),最终结果!$I$8,最终结果!$E$8),0)</f>
        <v>103</v>
      </c>
      <c r="F403">
        <f ca="1">ROUND(NORMINV(RAND(),最终结果!$I$12,最终结果!$E$12),0)</f>
        <v>105</v>
      </c>
      <c r="G403" t="str">
        <f t="shared" ca="1" si="14"/>
        <v>Home</v>
      </c>
      <c r="H403" t="str">
        <f ca="1">IF(E403+最终结果!$G$8&gt;simulation!F403,"W","L")</f>
        <v>W</v>
      </c>
      <c r="I403" t="str">
        <f ca="1">IF(F403+最终结果!$G$12&gt;simulation!E403,"W","L")</f>
        <v>L</v>
      </c>
      <c r="J403" t="str">
        <f ca="1">IF((E403+F403)&gt;最终结果!$H$8,"Over","Under")</f>
        <v>Under</v>
      </c>
    </row>
    <row r="404" spans="3:10" x14ac:dyDescent="0.25">
      <c r="C404">
        <v>403</v>
      </c>
      <c r="D404" t="str">
        <f t="shared" ca="1" si="13"/>
        <v>1</v>
      </c>
      <c r="E404">
        <f ca="1">ROUND(NORMINV(RAND(),最终结果!$I$8,最终结果!$E$8),0)</f>
        <v>109</v>
      </c>
      <c r="F404">
        <f ca="1">ROUND(NORMINV(RAND(),最终结果!$I$12,最终结果!$E$12),0)</f>
        <v>98</v>
      </c>
      <c r="G404" t="str">
        <f t="shared" ca="1" si="14"/>
        <v>Away</v>
      </c>
      <c r="H404" t="str">
        <f ca="1">IF(E404+最终结果!$G$8&gt;simulation!F404,"W","L")</f>
        <v>W</v>
      </c>
      <c r="I404" t="str">
        <f ca="1">IF(F404+最终结果!$G$12&gt;simulation!E404,"W","L")</f>
        <v>L</v>
      </c>
      <c r="J404" t="str">
        <f ca="1">IF((E404+F404)&gt;最终结果!$H$8,"Over","Under")</f>
        <v>Under</v>
      </c>
    </row>
    <row r="405" spans="3:10" x14ac:dyDescent="0.25">
      <c r="C405">
        <v>404</v>
      </c>
      <c r="D405" t="str">
        <f t="shared" ca="1" si="13"/>
        <v>-1</v>
      </c>
      <c r="E405">
        <f ca="1">ROUND(NORMINV(RAND(),最终结果!$I$8,最终结果!$E$8),0)</f>
        <v>106</v>
      </c>
      <c r="F405">
        <f ca="1">ROUND(NORMINV(RAND(),最终结果!$I$12,最终结果!$E$12),0)</f>
        <v>114</v>
      </c>
      <c r="G405" t="str">
        <f t="shared" ca="1" si="14"/>
        <v>Home</v>
      </c>
      <c r="H405" t="str">
        <f ca="1">IF(E405+最终结果!$G$8&gt;simulation!F405,"W","L")</f>
        <v>L</v>
      </c>
      <c r="I405" t="str">
        <f ca="1">IF(F405+最终结果!$G$12&gt;simulation!E405,"W","L")</f>
        <v>W</v>
      </c>
      <c r="J405" t="str">
        <f ca="1">IF((E405+F405)&gt;最终结果!$H$8,"Over","Under")</f>
        <v>Under</v>
      </c>
    </row>
    <row r="406" spans="3:10" x14ac:dyDescent="0.25">
      <c r="C406">
        <v>405</v>
      </c>
      <c r="D406" t="str">
        <f t="shared" ca="1" si="13"/>
        <v>-1</v>
      </c>
      <c r="E406">
        <f ca="1">ROUND(NORMINV(RAND(),最终结果!$I$8,最终结果!$E$8),0)</f>
        <v>105</v>
      </c>
      <c r="F406">
        <f ca="1">ROUND(NORMINV(RAND(),最终结果!$I$12,最终结果!$E$12),0)</f>
        <v>128</v>
      </c>
      <c r="G406" t="str">
        <f t="shared" ca="1" si="14"/>
        <v>Home</v>
      </c>
      <c r="H406" t="str">
        <f ca="1">IF(E406+最终结果!$G$8&gt;simulation!F406,"W","L")</f>
        <v>L</v>
      </c>
      <c r="I406" t="str">
        <f ca="1">IF(F406+最终结果!$G$12&gt;simulation!E406,"W","L")</f>
        <v>W</v>
      </c>
      <c r="J406" t="str">
        <f ca="1">IF((E406+F406)&gt;最终结果!$H$8,"Over","Under")</f>
        <v>Under</v>
      </c>
    </row>
    <row r="407" spans="3:10" x14ac:dyDescent="0.25">
      <c r="C407">
        <v>406</v>
      </c>
      <c r="D407" t="str">
        <f t="shared" ca="1" si="13"/>
        <v>1</v>
      </c>
      <c r="E407">
        <f ca="1">ROUND(NORMINV(RAND(),最终结果!$I$8,最终结果!$E$8),0)</f>
        <v>110</v>
      </c>
      <c r="F407">
        <f ca="1">ROUND(NORMINV(RAND(),最终结果!$I$12,最终结果!$E$12),0)</f>
        <v>103</v>
      </c>
      <c r="G407" t="str">
        <f t="shared" ca="1" si="14"/>
        <v>Away</v>
      </c>
      <c r="H407" t="str">
        <f ca="1">IF(E407+最终结果!$G$8&gt;simulation!F407,"W","L")</f>
        <v>W</v>
      </c>
      <c r="I407" t="str">
        <f ca="1">IF(F407+最终结果!$G$12&gt;simulation!E407,"W","L")</f>
        <v>L</v>
      </c>
      <c r="J407" t="str">
        <f ca="1">IF((E407+F407)&gt;最终结果!$H$8,"Over","Under")</f>
        <v>Under</v>
      </c>
    </row>
    <row r="408" spans="3:10" x14ac:dyDescent="0.25">
      <c r="C408">
        <v>407</v>
      </c>
      <c r="D408" t="str">
        <f t="shared" ca="1" si="13"/>
        <v>1</v>
      </c>
      <c r="E408">
        <f ca="1">ROUND(NORMINV(RAND(),最终结果!$I$8,最终结果!$E$8),0)</f>
        <v>104</v>
      </c>
      <c r="F408">
        <f ca="1">ROUND(NORMINV(RAND(),最终结果!$I$12,最终结果!$E$12),0)</f>
        <v>101</v>
      </c>
      <c r="G408" t="str">
        <f t="shared" ca="1" si="14"/>
        <v>Away</v>
      </c>
      <c r="H408" t="str">
        <f ca="1">IF(E408+最终结果!$G$8&gt;simulation!F408,"W","L")</f>
        <v>W</v>
      </c>
      <c r="I408" t="str">
        <f ca="1">IF(F408+最终结果!$G$12&gt;simulation!E408,"W","L")</f>
        <v>L</v>
      </c>
      <c r="J408" t="str">
        <f ca="1">IF((E408+F408)&gt;最终结果!$H$8,"Over","Under")</f>
        <v>Under</v>
      </c>
    </row>
    <row r="409" spans="3:10" x14ac:dyDescent="0.25">
      <c r="C409">
        <v>408</v>
      </c>
      <c r="D409" t="str">
        <f t="shared" ca="1" si="13"/>
        <v>-1</v>
      </c>
      <c r="E409">
        <f ca="1">ROUND(NORMINV(RAND(),最终结果!$I$8,最终结果!$E$8),0)</f>
        <v>97</v>
      </c>
      <c r="F409">
        <f ca="1">ROUND(NORMINV(RAND(),最终结果!$I$12,最终结果!$E$12),0)</f>
        <v>115</v>
      </c>
      <c r="G409" t="str">
        <f t="shared" ca="1" si="14"/>
        <v>Home</v>
      </c>
      <c r="H409" t="str">
        <f ca="1">IF(E409+最终结果!$G$8&gt;simulation!F409,"W","L")</f>
        <v>L</v>
      </c>
      <c r="I409" t="str">
        <f ca="1">IF(F409+最终结果!$G$12&gt;simulation!E409,"W","L")</f>
        <v>W</v>
      </c>
      <c r="J409" t="str">
        <f ca="1">IF((E409+F409)&gt;最终结果!$H$8,"Over","Under")</f>
        <v>Under</v>
      </c>
    </row>
    <row r="410" spans="3:10" x14ac:dyDescent="0.25">
      <c r="C410">
        <v>409</v>
      </c>
      <c r="D410" t="str">
        <f t="shared" ca="1" si="13"/>
        <v>1</v>
      </c>
      <c r="E410">
        <f ca="1">ROUND(NORMINV(RAND(),最终结果!$I$8,最终结果!$E$8),0)</f>
        <v>105</v>
      </c>
      <c r="F410">
        <f ca="1">ROUND(NORMINV(RAND(),最终结果!$I$12,最终结果!$E$12),0)</f>
        <v>98</v>
      </c>
      <c r="G410" t="str">
        <f t="shared" ca="1" si="14"/>
        <v>Away</v>
      </c>
      <c r="H410" t="str">
        <f ca="1">IF(E410+最终结果!$G$8&gt;simulation!F410,"W","L")</f>
        <v>W</v>
      </c>
      <c r="I410" t="str">
        <f ca="1">IF(F410+最终结果!$G$12&gt;simulation!E410,"W","L")</f>
        <v>L</v>
      </c>
      <c r="J410" t="str">
        <f ca="1">IF((E410+F410)&gt;最终结果!$H$8,"Over","Under")</f>
        <v>Under</v>
      </c>
    </row>
    <row r="411" spans="3:10" x14ac:dyDescent="0.25">
      <c r="C411">
        <v>410</v>
      </c>
      <c r="D411" t="str">
        <f t="shared" ca="1" si="13"/>
        <v>1</v>
      </c>
      <c r="E411">
        <f ca="1">ROUND(NORMINV(RAND(),最终结果!$I$8,最终结果!$E$8),0)</f>
        <v>109</v>
      </c>
      <c r="F411">
        <f ca="1">ROUND(NORMINV(RAND(),最终结果!$I$12,最终结果!$E$12),0)</f>
        <v>94</v>
      </c>
      <c r="G411" t="str">
        <f t="shared" ca="1" si="14"/>
        <v>Away</v>
      </c>
      <c r="H411" t="str">
        <f ca="1">IF(E411+最终结果!$G$8&gt;simulation!F411,"W","L")</f>
        <v>W</v>
      </c>
      <c r="I411" t="str">
        <f ca="1">IF(F411+最终结果!$G$12&gt;simulation!E411,"W","L")</f>
        <v>L</v>
      </c>
      <c r="J411" t="str">
        <f ca="1">IF((E411+F411)&gt;最终结果!$H$8,"Over","Under")</f>
        <v>Under</v>
      </c>
    </row>
    <row r="412" spans="3:10" x14ac:dyDescent="0.25">
      <c r="C412">
        <v>411</v>
      </c>
      <c r="D412" t="str">
        <f t="shared" ca="1" si="13"/>
        <v>1</v>
      </c>
      <c r="E412">
        <f ca="1">ROUND(NORMINV(RAND(),最终结果!$I$8,最终结果!$E$8),0)</f>
        <v>112</v>
      </c>
      <c r="F412">
        <f ca="1">ROUND(NORMINV(RAND(),最终结果!$I$12,最终结果!$E$12),0)</f>
        <v>111</v>
      </c>
      <c r="G412" t="str">
        <f t="shared" ca="1" si="14"/>
        <v>Away</v>
      </c>
      <c r="H412" t="str">
        <f ca="1">IF(E412+最终结果!$G$8&gt;simulation!F412,"W","L")</f>
        <v>W</v>
      </c>
      <c r="I412" t="str">
        <f ca="1">IF(F412+最终结果!$G$12&gt;simulation!E412,"W","L")</f>
        <v>L</v>
      </c>
      <c r="J412" t="str">
        <f ca="1">IF((E412+F412)&gt;最终结果!$H$8,"Over","Under")</f>
        <v>Under</v>
      </c>
    </row>
    <row r="413" spans="3:10" x14ac:dyDescent="0.25">
      <c r="C413">
        <v>412</v>
      </c>
      <c r="D413" t="str">
        <f t="shared" ca="1" si="13"/>
        <v>1</v>
      </c>
      <c r="E413">
        <f ca="1">ROUND(NORMINV(RAND(),最终结果!$I$8,最终结果!$E$8),0)</f>
        <v>117</v>
      </c>
      <c r="F413">
        <f ca="1">ROUND(NORMINV(RAND(),最终结果!$I$12,最终结果!$E$12),0)</f>
        <v>103</v>
      </c>
      <c r="G413" t="str">
        <f t="shared" ca="1" si="14"/>
        <v>Away</v>
      </c>
      <c r="H413" t="str">
        <f ca="1">IF(E413+最终结果!$G$8&gt;simulation!F413,"W","L")</f>
        <v>W</v>
      </c>
      <c r="I413" t="str">
        <f ca="1">IF(F413+最终结果!$G$12&gt;simulation!E413,"W","L")</f>
        <v>L</v>
      </c>
      <c r="J413" t="str">
        <f ca="1">IF((E413+F413)&gt;最终结果!$H$8,"Over","Under")</f>
        <v>Under</v>
      </c>
    </row>
    <row r="414" spans="3:10" x14ac:dyDescent="0.25">
      <c r="C414">
        <v>413</v>
      </c>
      <c r="D414">
        <f t="shared" ca="1" si="13"/>
        <v>0</v>
      </c>
      <c r="E414">
        <f ca="1">ROUND(NORMINV(RAND(),最终结果!$I$8,最终结果!$E$8),0)</f>
        <v>118</v>
      </c>
      <c r="F414">
        <f ca="1">ROUND(NORMINV(RAND(),最终结果!$I$12,最终结果!$E$12),0)</f>
        <v>118</v>
      </c>
      <c r="G414" t="str">
        <f t="shared" ca="1" si="14"/>
        <v>OT</v>
      </c>
      <c r="H414" t="str">
        <f ca="1">IF(E414+最终结果!$G$8&gt;simulation!F414,"W","L")</f>
        <v>W</v>
      </c>
      <c r="I414" t="str">
        <f ca="1">IF(F414+最终结果!$G$12&gt;simulation!E414,"W","L")</f>
        <v>L</v>
      </c>
      <c r="J414" t="str">
        <f ca="1">IF((E414+F414)&gt;最终结果!$H$8,"Over","Under")</f>
        <v>Under</v>
      </c>
    </row>
    <row r="415" spans="3:10" x14ac:dyDescent="0.25">
      <c r="C415">
        <v>414</v>
      </c>
      <c r="D415" t="str">
        <f t="shared" ca="1" si="13"/>
        <v>1</v>
      </c>
      <c r="E415">
        <f ca="1">ROUND(NORMINV(RAND(),最终结果!$I$8,最终结果!$E$8),0)</f>
        <v>120</v>
      </c>
      <c r="F415">
        <f ca="1">ROUND(NORMINV(RAND(),最终结果!$I$12,最终结果!$E$12),0)</f>
        <v>100</v>
      </c>
      <c r="G415" t="str">
        <f t="shared" ca="1" si="14"/>
        <v>Away</v>
      </c>
      <c r="H415" t="str">
        <f ca="1">IF(E415+最终结果!$G$8&gt;simulation!F415,"W","L")</f>
        <v>W</v>
      </c>
      <c r="I415" t="str">
        <f ca="1">IF(F415+最终结果!$G$12&gt;simulation!E415,"W","L")</f>
        <v>L</v>
      </c>
      <c r="J415" t="str">
        <f ca="1">IF((E415+F415)&gt;最终结果!$H$8,"Over","Under")</f>
        <v>Under</v>
      </c>
    </row>
    <row r="416" spans="3:10" x14ac:dyDescent="0.25">
      <c r="C416">
        <v>415</v>
      </c>
      <c r="D416" t="str">
        <f t="shared" ca="1" si="13"/>
        <v>-1</v>
      </c>
      <c r="E416">
        <f ca="1">ROUND(NORMINV(RAND(),最终结果!$I$8,最终结果!$E$8),0)</f>
        <v>121</v>
      </c>
      <c r="F416">
        <f ca="1">ROUND(NORMINV(RAND(),最终结果!$I$12,最终结果!$E$12),0)</f>
        <v>126</v>
      </c>
      <c r="G416" t="str">
        <f t="shared" ca="1" si="14"/>
        <v>Home</v>
      </c>
      <c r="H416" t="str">
        <f ca="1">IF(E416+最终结果!$G$8&gt;simulation!F416,"W","L")</f>
        <v>L</v>
      </c>
      <c r="I416" t="str">
        <f ca="1">IF(F416+最终结果!$G$12&gt;simulation!E416,"W","L")</f>
        <v>W</v>
      </c>
      <c r="J416" t="str">
        <f ca="1">IF((E416+F416)&gt;最终结果!$H$8,"Over","Under")</f>
        <v>Over</v>
      </c>
    </row>
    <row r="417" spans="3:10" x14ac:dyDescent="0.25">
      <c r="C417">
        <v>416</v>
      </c>
      <c r="D417" t="str">
        <f t="shared" ca="1" si="13"/>
        <v>-1</v>
      </c>
      <c r="E417">
        <f ca="1">ROUND(NORMINV(RAND(),最终结果!$I$8,最终结果!$E$8),0)</f>
        <v>109</v>
      </c>
      <c r="F417">
        <f ca="1">ROUND(NORMINV(RAND(),最终结果!$I$12,最终结果!$E$12),0)</f>
        <v>115</v>
      </c>
      <c r="G417" t="str">
        <f t="shared" ca="1" si="14"/>
        <v>Home</v>
      </c>
      <c r="H417" t="str">
        <f ca="1">IF(E417+最终结果!$G$8&gt;simulation!F417,"W","L")</f>
        <v>L</v>
      </c>
      <c r="I417" t="str">
        <f ca="1">IF(F417+最终结果!$G$12&gt;simulation!E417,"W","L")</f>
        <v>W</v>
      </c>
      <c r="J417" t="str">
        <f ca="1">IF((E417+F417)&gt;最终结果!$H$8,"Over","Under")</f>
        <v>Under</v>
      </c>
    </row>
    <row r="418" spans="3:10" x14ac:dyDescent="0.25">
      <c r="C418">
        <v>417</v>
      </c>
      <c r="D418" t="str">
        <f t="shared" ca="1" si="13"/>
        <v>-1</v>
      </c>
      <c r="E418">
        <f ca="1">ROUND(NORMINV(RAND(),最终结果!$I$8,最终结果!$E$8),0)</f>
        <v>119</v>
      </c>
      <c r="F418">
        <f ca="1">ROUND(NORMINV(RAND(),最终结果!$I$12,最终结果!$E$12),0)</f>
        <v>127</v>
      </c>
      <c r="G418" t="str">
        <f t="shared" ca="1" si="14"/>
        <v>Home</v>
      </c>
      <c r="H418" t="str">
        <f ca="1">IF(E418+最终结果!$G$8&gt;simulation!F418,"W","L")</f>
        <v>L</v>
      </c>
      <c r="I418" t="str">
        <f ca="1">IF(F418+最终结果!$G$12&gt;simulation!E418,"W","L")</f>
        <v>W</v>
      </c>
      <c r="J418" t="str">
        <f ca="1">IF((E418+F418)&gt;最终结果!$H$8,"Over","Under")</f>
        <v>Over</v>
      </c>
    </row>
    <row r="419" spans="3:10" x14ac:dyDescent="0.25">
      <c r="C419">
        <v>418</v>
      </c>
      <c r="D419" t="str">
        <f t="shared" ca="1" si="13"/>
        <v>1</v>
      </c>
      <c r="E419">
        <f ca="1">ROUND(NORMINV(RAND(),最终结果!$I$8,最终结果!$E$8),0)</f>
        <v>125</v>
      </c>
      <c r="F419">
        <f ca="1">ROUND(NORMINV(RAND(),最终结果!$I$12,最终结果!$E$12),0)</f>
        <v>118</v>
      </c>
      <c r="G419" t="str">
        <f t="shared" ca="1" si="14"/>
        <v>Away</v>
      </c>
      <c r="H419" t="str">
        <f ca="1">IF(E419+最终结果!$G$8&gt;simulation!F419,"W","L")</f>
        <v>W</v>
      </c>
      <c r="I419" t="str">
        <f ca="1">IF(F419+最终结果!$G$12&gt;simulation!E419,"W","L")</f>
        <v>L</v>
      </c>
      <c r="J419" t="str">
        <f ca="1">IF((E419+F419)&gt;最终结果!$H$8,"Over","Under")</f>
        <v>Over</v>
      </c>
    </row>
    <row r="420" spans="3:10" x14ac:dyDescent="0.25">
      <c r="C420">
        <v>419</v>
      </c>
      <c r="D420" t="str">
        <f t="shared" ca="1" si="13"/>
        <v>-1</v>
      </c>
      <c r="E420">
        <f ca="1">ROUND(NORMINV(RAND(),最终结果!$I$8,最终结果!$E$8),0)</f>
        <v>117</v>
      </c>
      <c r="F420">
        <f ca="1">ROUND(NORMINV(RAND(),最终结果!$I$12,最终结果!$E$12),0)</f>
        <v>124</v>
      </c>
      <c r="G420" t="str">
        <f t="shared" ca="1" si="14"/>
        <v>Home</v>
      </c>
      <c r="H420" t="str">
        <f ca="1">IF(E420+最终结果!$G$8&gt;simulation!F420,"W","L")</f>
        <v>L</v>
      </c>
      <c r="I420" t="str">
        <f ca="1">IF(F420+最终结果!$G$12&gt;simulation!E420,"W","L")</f>
        <v>W</v>
      </c>
      <c r="J420" t="str">
        <f ca="1">IF((E420+F420)&gt;最终结果!$H$8,"Over","Under")</f>
        <v>Over</v>
      </c>
    </row>
    <row r="421" spans="3:10" x14ac:dyDescent="0.25">
      <c r="C421">
        <v>420</v>
      </c>
      <c r="D421" t="str">
        <f t="shared" ca="1" si="13"/>
        <v>1</v>
      </c>
      <c r="E421">
        <f ca="1">ROUND(NORMINV(RAND(),最终结果!$I$8,最终结果!$E$8),0)</f>
        <v>123</v>
      </c>
      <c r="F421">
        <f ca="1">ROUND(NORMINV(RAND(),最终结果!$I$12,最终结果!$E$12),0)</f>
        <v>112</v>
      </c>
      <c r="G421" t="str">
        <f t="shared" ca="1" si="14"/>
        <v>Away</v>
      </c>
      <c r="H421" t="str">
        <f ca="1">IF(E421+最终结果!$G$8&gt;simulation!F421,"W","L")</f>
        <v>W</v>
      </c>
      <c r="I421" t="str">
        <f ca="1">IF(F421+最终结果!$G$12&gt;simulation!E421,"W","L")</f>
        <v>L</v>
      </c>
      <c r="J421" t="str">
        <f ca="1">IF((E421+F421)&gt;最终结果!$H$8,"Over","Under")</f>
        <v>Under</v>
      </c>
    </row>
    <row r="422" spans="3:10" x14ac:dyDescent="0.25">
      <c r="C422">
        <v>421</v>
      </c>
      <c r="D422" t="str">
        <f t="shared" ca="1" si="13"/>
        <v>1</v>
      </c>
      <c r="E422">
        <f ca="1">ROUND(NORMINV(RAND(),最终结果!$I$8,最终结果!$E$8),0)</f>
        <v>134</v>
      </c>
      <c r="F422">
        <f ca="1">ROUND(NORMINV(RAND(),最终结果!$I$12,最终结果!$E$12),0)</f>
        <v>115</v>
      </c>
      <c r="G422" t="str">
        <f t="shared" ca="1" si="14"/>
        <v>Away</v>
      </c>
      <c r="H422" t="str">
        <f ca="1">IF(E422+最终结果!$G$8&gt;simulation!F422,"W","L")</f>
        <v>W</v>
      </c>
      <c r="I422" t="str">
        <f ca="1">IF(F422+最终结果!$G$12&gt;simulation!E422,"W","L")</f>
        <v>L</v>
      </c>
      <c r="J422" t="str">
        <f ca="1">IF((E422+F422)&gt;最终结果!$H$8,"Over","Under")</f>
        <v>Over</v>
      </c>
    </row>
    <row r="423" spans="3:10" x14ac:dyDescent="0.25">
      <c r="C423">
        <v>422</v>
      </c>
      <c r="D423" t="str">
        <f t="shared" ca="1" si="13"/>
        <v>-1</v>
      </c>
      <c r="E423">
        <f ca="1">ROUND(NORMINV(RAND(),最终结果!$I$8,最终结果!$E$8),0)</f>
        <v>112</v>
      </c>
      <c r="F423">
        <f ca="1">ROUND(NORMINV(RAND(),最终结果!$I$12,最终结果!$E$12),0)</f>
        <v>128</v>
      </c>
      <c r="G423" t="str">
        <f t="shared" ca="1" si="14"/>
        <v>Home</v>
      </c>
      <c r="H423" t="str">
        <f ca="1">IF(E423+最终结果!$G$8&gt;simulation!F423,"W","L")</f>
        <v>L</v>
      </c>
      <c r="I423" t="str">
        <f ca="1">IF(F423+最终结果!$G$12&gt;simulation!E423,"W","L")</f>
        <v>W</v>
      </c>
      <c r="J423" t="str">
        <f ca="1">IF((E423+F423)&gt;最终结果!$H$8,"Over","Under")</f>
        <v>Over</v>
      </c>
    </row>
    <row r="424" spans="3:10" x14ac:dyDescent="0.25">
      <c r="C424">
        <v>423</v>
      </c>
      <c r="D424" t="str">
        <f t="shared" ca="1" si="13"/>
        <v>-1</v>
      </c>
      <c r="E424">
        <f ca="1">ROUND(NORMINV(RAND(),最终结果!$I$8,最终结果!$E$8),0)</f>
        <v>93</v>
      </c>
      <c r="F424">
        <f ca="1">ROUND(NORMINV(RAND(),最终结果!$I$12,最终结果!$E$12),0)</f>
        <v>126</v>
      </c>
      <c r="G424" t="str">
        <f t="shared" ca="1" si="14"/>
        <v>Home</v>
      </c>
      <c r="H424" t="str">
        <f ca="1">IF(E424+最终结果!$G$8&gt;simulation!F424,"W","L")</f>
        <v>L</v>
      </c>
      <c r="I424" t="str">
        <f ca="1">IF(F424+最终结果!$G$12&gt;simulation!E424,"W","L")</f>
        <v>W</v>
      </c>
      <c r="J424" t="str">
        <f ca="1">IF((E424+F424)&gt;最终结果!$H$8,"Over","Under")</f>
        <v>Under</v>
      </c>
    </row>
    <row r="425" spans="3:10" x14ac:dyDescent="0.25">
      <c r="C425">
        <v>424</v>
      </c>
      <c r="D425" t="str">
        <f t="shared" ca="1" si="13"/>
        <v>-1</v>
      </c>
      <c r="E425">
        <f ca="1">ROUND(NORMINV(RAND(),最终结果!$I$8,最终结果!$E$8),0)</f>
        <v>98</v>
      </c>
      <c r="F425">
        <f ca="1">ROUND(NORMINV(RAND(),最终结果!$I$12,最终结果!$E$12),0)</f>
        <v>138</v>
      </c>
      <c r="G425" t="str">
        <f t="shared" ca="1" si="14"/>
        <v>Home</v>
      </c>
      <c r="H425" t="str">
        <f ca="1">IF(E425+最终结果!$G$8&gt;simulation!F425,"W","L")</f>
        <v>L</v>
      </c>
      <c r="I425" t="str">
        <f ca="1">IF(F425+最终结果!$G$12&gt;simulation!E425,"W","L")</f>
        <v>W</v>
      </c>
      <c r="J425" t="str">
        <f ca="1">IF((E425+F425)&gt;最终结果!$H$8,"Over","Under")</f>
        <v>Under</v>
      </c>
    </row>
    <row r="426" spans="3:10" x14ac:dyDescent="0.25">
      <c r="C426">
        <v>425</v>
      </c>
      <c r="D426" t="str">
        <f t="shared" ca="1" si="13"/>
        <v>-1</v>
      </c>
      <c r="E426">
        <f ca="1">ROUND(NORMINV(RAND(),最终结果!$I$8,最终结果!$E$8),0)</f>
        <v>89</v>
      </c>
      <c r="F426">
        <f ca="1">ROUND(NORMINV(RAND(),最终结果!$I$12,最终结果!$E$12),0)</f>
        <v>111</v>
      </c>
      <c r="G426" t="str">
        <f t="shared" ca="1" si="14"/>
        <v>Home</v>
      </c>
      <c r="H426" t="str">
        <f ca="1">IF(E426+最终结果!$G$8&gt;simulation!F426,"W","L")</f>
        <v>L</v>
      </c>
      <c r="I426" t="str">
        <f ca="1">IF(F426+最终结果!$G$12&gt;simulation!E426,"W","L")</f>
        <v>W</v>
      </c>
      <c r="J426" t="str">
        <f ca="1">IF((E426+F426)&gt;最终结果!$H$8,"Over","Under")</f>
        <v>Under</v>
      </c>
    </row>
    <row r="427" spans="3:10" x14ac:dyDescent="0.25">
      <c r="C427">
        <v>426</v>
      </c>
      <c r="D427">
        <f t="shared" ca="1" si="13"/>
        <v>0</v>
      </c>
      <c r="E427">
        <f ca="1">ROUND(NORMINV(RAND(),最终结果!$I$8,最终结果!$E$8),0)</f>
        <v>116</v>
      </c>
      <c r="F427">
        <f ca="1">ROUND(NORMINV(RAND(),最终结果!$I$12,最终结果!$E$12),0)</f>
        <v>116</v>
      </c>
      <c r="G427" t="str">
        <f t="shared" ca="1" si="14"/>
        <v>OT</v>
      </c>
      <c r="H427" t="str">
        <f ca="1">IF(E427+最终结果!$G$8&gt;simulation!F427,"W","L")</f>
        <v>W</v>
      </c>
      <c r="I427" t="str">
        <f ca="1">IF(F427+最终结果!$G$12&gt;simulation!E427,"W","L")</f>
        <v>L</v>
      </c>
      <c r="J427" t="str">
        <f ca="1">IF((E427+F427)&gt;最终结果!$H$8,"Over","Under")</f>
        <v>Under</v>
      </c>
    </row>
    <row r="428" spans="3:10" x14ac:dyDescent="0.25">
      <c r="C428">
        <v>427</v>
      </c>
      <c r="D428" t="str">
        <f t="shared" ca="1" si="13"/>
        <v>-1</v>
      </c>
      <c r="E428">
        <f ca="1">ROUND(NORMINV(RAND(),最终结果!$I$8,最终结果!$E$8),0)</f>
        <v>115</v>
      </c>
      <c r="F428">
        <f ca="1">ROUND(NORMINV(RAND(),最终结果!$I$12,最终结果!$E$12),0)</f>
        <v>125</v>
      </c>
      <c r="G428" t="str">
        <f t="shared" ca="1" si="14"/>
        <v>Home</v>
      </c>
      <c r="H428" t="str">
        <f ca="1">IF(E428+最终结果!$G$8&gt;simulation!F428,"W","L")</f>
        <v>L</v>
      </c>
      <c r="I428" t="str">
        <f ca="1">IF(F428+最终结果!$G$12&gt;simulation!E428,"W","L")</f>
        <v>W</v>
      </c>
      <c r="J428" t="str">
        <f ca="1">IF((E428+F428)&gt;最终结果!$H$8,"Over","Under")</f>
        <v>Over</v>
      </c>
    </row>
    <row r="429" spans="3:10" x14ac:dyDescent="0.25">
      <c r="C429">
        <v>428</v>
      </c>
      <c r="D429" t="str">
        <f t="shared" ca="1" si="13"/>
        <v>-1</v>
      </c>
      <c r="E429">
        <f ca="1">ROUND(NORMINV(RAND(),最终结果!$I$8,最终结果!$E$8),0)</f>
        <v>103</v>
      </c>
      <c r="F429">
        <f ca="1">ROUND(NORMINV(RAND(),最终结果!$I$12,最终结果!$E$12),0)</f>
        <v>109</v>
      </c>
      <c r="G429" t="str">
        <f t="shared" ca="1" si="14"/>
        <v>Home</v>
      </c>
      <c r="H429" t="str">
        <f ca="1">IF(E429+最终结果!$G$8&gt;simulation!F429,"W","L")</f>
        <v>L</v>
      </c>
      <c r="I429" t="str">
        <f ca="1">IF(F429+最终结果!$G$12&gt;simulation!E429,"W","L")</f>
        <v>W</v>
      </c>
      <c r="J429" t="str">
        <f ca="1">IF((E429+F429)&gt;最终结果!$H$8,"Over","Under")</f>
        <v>Under</v>
      </c>
    </row>
    <row r="430" spans="3:10" x14ac:dyDescent="0.25">
      <c r="C430">
        <v>429</v>
      </c>
      <c r="D430" t="str">
        <f t="shared" ca="1" si="13"/>
        <v>-1</v>
      </c>
      <c r="E430">
        <f ca="1">ROUND(NORMINV(RAND(),最终结果!$I$8,最终结果!$E$8),0)</f>
        <v>103</v>
      </c>
      <c r="F430">
        <f ca="1">ROUND(NORMINV(RAND(),最终结果!$I$12,最终结果!$E$12),0)</f>
        <v>132</v>
      </c>
      <c r="G430" t="str">
        <f t="shared" ca="1" si="14"/>
        <v>Home</v>
      </c>
      <c r="H430" t="str">
        <f ca="1">IF(E430+最终结果!$G$8&gt;simulation!F430,"W","L")</f>
        <v>L</v>
      </c>
      <c r="I430" t="str">
        <f ca="1">IF(F430+最终结果!$G$12&gt;simulation!E430,"W","L")</f>
        <v>W</v>
      </c>
      <c r="J430" t="str">
        <f ca="1">IF((E430+F430)&gt;最终结果!$H$8,"Over","Under")</f>
        <v>Under</v>
      </c>
    </row>
    <row r="431" spans="3:10" x14ac:dyDescent="0.25">
      <c r="C431">
        <v>430</v>
      </c>
      <c r="D431" t="str">
        <f t="shared" ca="1" si="13"/>
        <v>-1</v>
      </c>
      <c r="E431">
        <f ca="1">ROUND(NORMINV(RAND(),最终结果!$I$8,最终结果!$E$8),0)</f>
        <v>109</v>
      </c>
      <c r="F431">
        <f ca="1">ROUND(NORMINV(RAND(),最终结果!$I$12,最终结果!$E$12),0)</f>
        <v>120</v>
      </c>
      <c r="G431" t="str">
        <f t="shared" ca="1" si="14"/>
        <v>Home</v>
      </c>
      <c r="H431" t="str">
        <f ca="1">IF(E431+最终结果!$G$8&gt;simulation!F431,"W","L")</f>
        <v>L</v>
      </c>
      <c r="I431" t="str">
        <f ca="1">IF(F431+最终结果!$G$12&gt;simulation!E431,"W","L")</f>
        <v>W</v>
      </c>
      <c r="J431" t="str">
        <f ca="1">IF((E431+F431)&gt;最终结果!$H$8,"Over","Under")</f>
        <v>Under</v>
      </c>
    </row>
    <row r="432" spans="3:10" x14ac:dyDescent="0.25">
      <c r="C432">
        <v>431</v>
      </c>
      <c r="D432" t="str">
        <f t="shared" ca="1" si="13"/>
        <v>-1</v>
      </c>
      <c r="E432">
        <f ca="1">ROUND(NORMINV(RAND(),最终结果!$I$8,最终结果!$E$8),0)</f>
        <v>93</v>
      </c>
      <c r="F432">
        <f ca="1">ROUND(NORMINV(RAND(),最终结果!$I$12,最终结果!$E$12),0)</f>
        <v>118</v>
      </c>
      <c r="G432" t="str">
        <f t="shared" ca="1" si="14"/>
        <v>Home</v>
      </c>
      <c r="H432" t="str">
        <f ca="1">IF(E432+最终结果!$G$8&gt;simulation!F432,"W","L")</f>
        <v>L</v>
      </c>
      <c r="I432" t="str">
        <f ca="1">IF(F432+最终结果!$G$12&gt;simulation!E432,"W","L")</f>
        <v>W</v>
      </c>
      <c r="J432" t="str">
        <f ca="1">IF((E432+F432)&gt;最终结果!$H$8,"Over","Under")</f>
        <v>Under</v>
      </c>
    </row>
    <row r="433" spans="3:10" x14ac:dyDescent="0.25">
      <c r="C433">
        <v>432</v>
      </c>
      <c r="D433" t="str">
        <f t="shared" ca="1" si="13"/>
        <v>1</v>
      </c>
      <c r="E433">
        <f ca="1">ROUND(NORMINV(RAND(),最终结果!$I$8,最终结果!$E$8),0)</f>
        <v>112</v>
      </c>
      <c r="F433">
        <f ca="1">ROUND(NORMINV(RAND(),最终结果!$I$12,最终结果!$E$12),0)</f>
        <v>107</v>
      </c>
      <c r="G433" t="str">
        <f t="shared" ca="1" si="14"/>
        <v>Away</v>
      </c>
      <c r="H433" t="str">
        <f ca="1">IF(E433+最终结果!$G$8&gt;simulation!F433,"W","L")</f>
        <v>W</v>
      </c>
      <c r="I433" t="str">
        <f ca="1">IF(F433+最终结果!$G$12&gt;simulation!E433,"W","L")</f>
        <v>L</v>
      </c>
      <c r="J433" t="str">
        <f ca="1">IF((E433+F433)&gt;最终结果!$H$8,"Over","Under")</f>
        <v>Under</v>
      </c>
    </row>
    <row r="434" spans="3:10" x14ac:dyDescent="0.25">
      <c r="C434">
        <v>433</v>
      </c>
      <c r="D434" t="str">
        <f t="shared" ca="1" si="13"/>
        <v>-1</v>
      </c>
      <c r="E434">
        <f ca="1">ROUND(NORMINV(RAND(),最终结果!$I$8,最终结果!$E$8),0)</f>
        <v>116</v>
      </c>
      <c r="F434">
        <f ca="1">ROUND(NORMINV(RAND(),最终结果!$I$12,最终结果!$E$12),0)</f>
        <v>120</v>
      </c>
      <c r="G434" t="str">
        <f t="shared" ca="1" si="14"/>
        <v>Home</v>
      </c>
      <c r="H434" t="str">
        <f ca="1">IF(E434+最终结果!$G$8&gt;simulation!F434,"W","L")</f>
        <v>L</v>
      </c>
      <c r="I434" t="str">
        <f ca="1">IF(F434+最终结果!$G$12&gt;simulation!E434,"W","L")</f>
        <v>W</v>
      </c>
      <c r="J434" t="str">
        <f ca="1">IF((E434+F434)&gt;最终结果!$H$8,"Over","Under")</f>
        <v>Under</v>
      </c>
    </row>
    <row r="435" spans="3:10" x14ac:dyDescent="0.25">
      <c r="C435">
        <v>434</v>
      </c>
      <c r="D435" t="str">
        <f t="shared" ca="1" si="13"/>
        <v>1</v>
      </c>
      <c r="E435">
        <f ca="1">ROUND(NORMINV(RAND(),最终结果!$I$8,最终结果!$E$8),0)</f>
        <v>116</v>
      </c>
      <c r="F435">
        <f ca="1">ROUND(NORMINV(RAND(),最终结果!$I$12,最终结果!$E$12),0)</f>
        <v>105</v>
      </c>
      <c r="G435" t="str">
        <f t="shared" ca="1" si="14"/>
        <v>Away</v>
      </c>
      <c r="H435" t="str">
        <f ca="1">IF(E435+最终结果!$G$8&gt;simulation!F435,"W","L")</f>
        <v>W</v>
      </c>
      <c r="I435" t="str">
        <f ca="1">IF(F435+最终结果!$G$12&gt;simulation!E435,"W","L")</f>
        <v>L</v>
      </c>
      <c r="J435" t="str">
        <f ca="1">IF((E435+F435)&gt;最终结果!$H$8,"Over","Under")</f>
        <v>Under</v>
      </c>
    </row>
    <row r="436" spans="3:10" x14ac:dyDescent="0.25">
      <c r="C436">
        <v>435</v>
      </c>
      <c r="D436" t="str">
        <f t="shared" ca="1" si="13"/>
        <v>1</v>
      </c>
      <c r="E436">
        <f ca="1">ROUND(NORMINV(RAND(),最终结果!$I$8,最终结果!$E$8),0)</f>
        <v>102</v>
      </c>
      <c r="F436">
        <f ca="1">ROUND(NORMINV(RAND(),最终结果!$I$12,最终结果!$E$12),0)</f>
        <v>100</v>
      </c>
      <c r="G436" t="str">
        <f t="shared" ca="1" si="14"/>
        <v>Away</v>
      </c>
      <c r="H436" t="str">
        <f ca="1">IF(E436+最终结果!$G$8&gt;simulation!F436,"W","L")</f>
        <v>W</v>
      </c>
      <c r="I436" t="str">
        <f ca="1">IF(F436+最终结果!$G$12&gt;simulation!E436,"W","L")</f>
        <v>L</v>
      </c>
      <c r="J436" t="str">
        <f ca="1">IF((E436+F436)&gt;最终结果!$H$8,"Over","Under")</f>
        <v>Under</v>
      </c>
    </row>
    <row r="437" spans="3:10" x14ac:dyDescent="0.25">
      <c r="C437">
        <v>436</v>
      </c>
      <c r="D437" t="str">
        <f t="shared" ca="1" si="13"/>
        <v>-1</v>
      </c>
      <c r="E437">
        <f ca="1">ROUND(NORMINV(RAND(),最终结果!$I$8,最终结果!$E$8),0)</f>
        <v>108</v>
      </c>
      <c r="F437">
        <f ca="1">ROUND(NORMINV(RAND(),最终结果!$I$12,最终结果!$E$12),0)</f>
        <v>144</v>
      </c>
      <c r="G437" t="str">
        <f t="shared" ca="1" si="14"/>
        <v>Home</v>
      </c>
      <c r="H437" t="str">
        <f ca="1">IF(E437+最终结果!$G$8&gt;simulation!F437,"W","L")</f>
        <v>L</v>
      </c>
      <c r="I437" t="str">
        <f ca="1">IF(F437+最终结果!$G$12&gt;simulation!E437,"W","L")</f>
        <v>W</v>
      </c>
      <c r="J437" t="str">
        <f ca="1">IF((E437+F437)&gt;最终结果!$H$8,"Over","Under")</f>
        <v>Over</v>
      </c>
    </row>
    <row r="438" spans="3:10" x14ac:dyDescent="0.25">
      <c r="C438">
        <v>437</v>
      </c>
      <c r="D438" t="str">
        <f t="shared" ca="1" si="13"/>
        <v>-1</v>
      </c>
      <c r="E438">
        <f ca="1">ROUND(NORMINV(RAND(),最终结果!$I$8,最终结果!$E$8),0)</f>
        <v>108</v>
      </c>
      <c r="F438">
        <f ca="1">ROUND(NORMINV(RAND(),最终结果!$I$12,最终结果!$E$12),0)</f>
        <v>129</v>
      </c>
      <c r="G438" t="str">
        <f t="shared" ca="1" si="14"/>
        <v>Home</v>
      </c>
      <c r="H438" t="str">
        <f ca="1">IF(E438+最终结果!$G$8&gt;simulation!F438,"W","L")</f>
        <v>L</v>
      </c>
      <c r="I438" t="str">
        <f ca="1">IF(F438+最终结果!$G$12&gt;simulation!E438,"W","L")</f>
        <v>W</v>
      </c>
      <c r="J438" t="str">
        <f ca="1">IF((E438+F438)&gt;最终结果!$H$8,"Over","Under")</f>
        <v>Under</v>
      </c>
    </row>
    <row r="439" spans="3:10" x14ac:dyDescent="0.25">
      <c r="C439">
        <v>438</v>
      </c>
      <c r="D439" t="str">
        <f t="shared" ca="1" si="13"/>
        <v>-1</v>
      </c>
      <c r="E439">
        <f ca="1">ROUND(NORMINV(RAND(),最终结果!$I$8,最终结果!$E$8),0)</f>
        <v>96</v>
      </c>
      <c r="F439">
        <f ca="1">ROUND(NORMINV(RAND(),最终结果!$I$12,最终结果!$E$12),0)</f>
        <v>120</v>
      </c>
      <c r="G439" t="str">
        <f t="shared" ca="1" si="14"/>
        <v>Home</v>
      </c>
      <c r="H439" t="str">
        <f ca="1">IF(E439+最终结果!$G$8&gt;simulation!F439,"W","L")</f>
        <v>L</v>
      </c>
      <c r="I439" t="str">
        <f ca="1">IF(F439+最终结果!$G$12&gt;simulation!E439,"W","L")</f>
        <v>W</v>
      </c>
      <c r="J439" t="str">
        <f ca="1">IF((E439+F439)&gt;最终结果!$H$8,"Over","Under")</f>
        <v>Under</v>
      </c>
    </row>
    <row r="440" spans="3:10" x14ac:dyDescent="0.25">
      <c r="C440">
        <v>439</v>
      </c>
      <c r="D440" t="str">
        <f t="shared" ca="1" si="13"/>
        <v>-1</v>
      </c>
      <c r="E440">
        <f ca="1">ROUND(NORMINV(RAND(),最终结果!$I$8,最终结果!$E$8),0)</f>
        <v>98</v>
      </c>
      <c r="F440">
        <f ca="1">ROUND(NORMINV(RAND(),最终结果!$I$12,最终结果!$E$12),0)</f>
        <v>135</v>
      </c>
      <c r="G440" t="str">
        <f t="shared" ca="1" si="14"/>
        <v>Home</v>
      </c>
      <c r="H440" t="str">
        <f ca="1">IF(E440+最终结果!$G$8&gt;simulation!F440,"W","L")</f>
        <v>L</v>
      </c>
      <c r="I440" t="str">
        <f ca="1">IF(F440+最终结果!$G$12&gt;simulation!E440,"W","L")</f>
        <v>W</v>
      </c>
      <c r="J440" t="str">
        <f ca="1">IF((E440+F440)&gt;最终结果!$H$8,"Over","Under")</f>
        <v>Under</v>
      </c>
    </row>
    <row r="441" spans="3:10" x14ac:dyDescent="0.25">
      <c r="C441">
        <v>440</v>
      </c>
      <c r="D441" t="str">
        <f t="shared" ca="1" si="13"/>
        <v>1</v>
      </c>
      <c r="E441">
        <f ca="1">ROUND(NORMINV(RAND(),最终结果!$I$8,最终结果!$E$8),0)</f>
        <v>110</v>
      </c>
      <c r="F441">
        <f ca="1">ROUND(NORMINV(RAND(),最终结果!$I$12,最终结果!$E$12),0)</f>
        <v>102</v>
      </c>
      <c r="G441" t="str">
        <f t="shared" ca="1" si="14"/>
        <v>Away</v>
      </c>
      <c r="H441" t="str">
        <f ca="1">IF(E441+最终结果!$G$8&gt;simulation!F441,"W","L")</f>
        <v>W</v>
      </c>
      <c r="I441" t="str">
        <f ca="1">IF(F441+最终结果!$G$12&gt;simulation!E441,"W","L")</f>
        <v>L</v>
      </c>
      <c r="J441" t="str">
        <f ca="1">IF((E441+F441)&gt;最终结果!$H$8,"Over","Under")</f>
        <v>Under</v>
      </c>
    </row>
    <row r="442" spans="3:10" x14ac:dyDescent="0.25">
      <c r="C442">
        <v>441</v>
      </c>
      <c r="D442" t="str">
        <f t="shared" ca="1" si="13"/>
        <v>1</v>
      </c>
      <c r="E442">
        <f ca="1">ROUND(NORMINV(RAND(),最终结果!$I$8,最终结果!$E$8),0)</f>
        <v>135</v>
      </c>
      <c r="F442">
        <f ca="1">ROUND(NORMINV(RAND(),最终结果!$I$12,最终结果!$E$12),0)</f>
        <v>130</v>
      </c>
      <c r="G442" t="str">
        <f t="shared" ca="1" si="14"/>
        <v>Away</v>
      </c>
      <c r="H442" t="str">
        <f ca="1">IF(E442+最终结果!$G$8&gt;simulation!F442,"W","L")</f>
        <v>W</v>
      </c>
      <c r="I442" t="str">
        <f ca="1">IF(F442+最终结果!$G$12&gt;simulation!E442,"W","L")</f>
        <v>L</v>
      </c>
      <c r="J442" t="str">
        <f ca="1">IF((E442+F442)&gt;最终结果!$H$8,"Over","Under")</f>
        <v>Over</v>
      </c>
    </row>
    <row r="443" spans="3:10" x14ac:dyDescent="0.25">
      <c r="C443">
        <v>442</v>
      </c>
      <c r="D443" t="str">
        <f t="shared" ca="1" si="13"/>
        <v>-1</v>
      </c>
      <c r="E443">
        <f ca="1">ROUND(NORMINV(RAND(),最终结果!$I$8,最终结果!$E$8),0)</f>
        <v>103</v>
      </c>
      <c r="F443">
        <f ca="1">ROUND(NORMINV(RAND(),最终结果!$I$12,最终结果!$E$12),0)</f>
        <v>105</v>
      </c>
      <c r="G443" t="str">
        <f t="shared" ca="1" si="14"/>
        <v>Home</v>
      </c>
      <c r="H443" t="str">
        <f ca="1">IF(E443+最终结果!$G$8&gt;simulation!F443,"W","L")</f>
        <v>W</v>
      </c>
      <c r="I443" t="str">
        <f ca="1">IF(F443+最终结果!$G$12&gt;simulation!E443,"W","L")</f>
        <v>L</v>
      </c>
      <c r="J443" t="str">
        <f ca="1">IF((E443+F443)&gt;最终结果!$H$8,"Over","Under")</f>
        <v>Under</v>
      </c>
    </row>
    <row r="444" spans="3:10" x14ac:dyDescent="0.25">
      <c r="C444">
        <v>443</v>
      </c>
      <c r="D444" t="str">
        <f t="shared" ca="1" si="13"/>
        <v>1</v>
      </c>
      <c r="E444">
        <f ca="1">ROUND(NORMINV(RAND(),最终结果!$I$8,最终结果!$E$8),0)</f>
        <v>142</v>
      </c>
      <c r="F444">
        <f ca="1">ROUND(NORMINV(RAND(),最终结果!$I$12,最终结果!$E$12),0)</f>
        <v>112</v>
      </c>
      <c r="G444" t="str">
        <f t="shared" ca="1" si="14"/>
        <v>Away</v>
      </c>
      <c r="H444" t="str">
        <f ca="1">IF(E444+最终结果!$G$8&gt;simulation!F444,"W","L")</f>
        <v>W</v>
      </c>
      <c r="I444" t="str">
        <f ca="1">IF(F444+最终结果!$G$12&gt;simulation!E444,"W","L")</f>
        <v>L</v>
      </c>
      <c r="J444" t="str">
        <f ca="1">IF((E444+F444)&gt;最终结果!$H$8,"Over","Under")</f>
        <v>Over</v>
      </c>
    </row>
    <row r="445" spans="3:10" x14ac:dyDescent="0.25">
      <c r="C445">
        <v>444</v>
      </c>
      <c r="D445" t="str">
        <f t="shared" ca="1" si="13"/>
        <v>-1</v>
      </c>
      <c r="E445">
        <f ca="1">ROUND(NORMINV(RAND(),最终结果!$I$8,最终结果!$E$8),0)</f>
        <v>97</v>
      </c>
      <c r="F445">
        <f ca="1">ROUND(NORMINV(RAND(),最终结果!$I$12,最终结果!$E$12),0)</f>
        <v>121</v>
      </c>
      <c r="G445" t="str">
        <f t="shared" ca="1" si="14"/>
        <v>Home</v>
      </c>
      <c r="H445" t="str">
        <f ca="1">IF(E445+最终结果!$G$8&gt;simulation!F445,"W","L")</f>
        <v>L</v>
      </c>
      <c r="I445" t="str">
        <f ca="1">IF(F445+最终结果!$G$12&gt;simulation!E445,"W","L")</f>
        <v>W</v>
      </c>
      <c r="J445" t="str">
        <f ca="1">IF((E445+F445)&gt;最终结果!$H$8,"Over","Under")</f>
        <v>Under</v>
      </c>
    </row>
    <row r="446" spans="3:10" x14ac:dyDescent="0.25">
      <c r="C446">
        <v>445</v>
      </c>
      <c r="D446" t="str">
        <f t="shared" ca="1" si="13"/>
        <v>-1</v>
      </c>
      <c r="E446">
        <f ca="1">ROUND(NORMINV(RAND(),最终结果!$I$8,最终结果!$E$8),0)</f>
        <v>120</v>
      </c>
      <c r="F446">
        <f ca="1">ROUND(NORMINV(RAND(),最终结果!$I$12,最终结果!$E$12),0)</f>
        <v>124</v>
      </c>
      <c r="G446" t="str">
        <f t="shared" ca="1" si="14"/>
        <v>Home</v>
      </c>
      <c r="H446" t="str">
        <f ca="1">IF(E446+最终结果!$G$8&gt;simulation!F446,"W","L")</f>
        <v>L</v>
      </c>
      <c r="I446" t="str">
        <f ca="1">IF(F446+最终结果!$G$12&gt;simulation!E446,"W","L")</f>
        <v>W</v>
      </c>
      <c r="J446" t="str">
        <f ca="1">IF((E446+F446)&gt;最终结果!$H$8,"Over","Under")</f>
        <v>Over</v>
      </c>
    </row>
    <row r="447" spans="3:10" x14ac:dyDescent="0.25">
      <c r="C447">
        <v>446</v>
      </c>
      <c r="D447" t="str">
        <f t="shared" ca="1" si="13"/>
        <v>-1</v>
      </c>
      <c r="E447">
        <f ca="1">ROUND(NORMINV(RAND(),最终结果!$I$8,最终结果!$E$8),0)</f>
        <v>108</v>
      </c>
      <c r="F447">
        <f ca="1">ROUND(NORMINV(RAND(),最终结果!$I$12,最终结果!$E$12),0)</f>
        <v>130</v>
      </c>
      <c r="G447" t="str">
        <f t="shared" ca="1" si="14"/>
        <v>Home</v>
      </c>
      <c r="H447" t="str">
        <f ca="1">IF(E447+最终结果!$G$8&gt;simulation!F447,"W","L")</f>
        <v>L</v>
      </c>
      <c r="I447" t="str">
        <f ca="1">IF(F447+最终结果!$G$12&gt;simulation!E447,"W","L")</f>
        <v>W</v>
      </c>
      <c r="J447" t="str">
        <f ca="1">IF((E447+F447)&gt;最终结果!$H$8,"Over","Under")</f>
        <v>Over</v>
      </c>
    </row>
    <row r="448" spans="3:10" x14ac:dyDescent="0.25">
      <c r="C448">
        <v>447</v>
      </c>
      <c r="D448" t="str">
        <f t="shared" ca="1" si="13"/>
        <v>1</v>
      </c>
      <c r="E448">
        <f ca="1">ROUND(NORMINV(RAND(),最终结果!$I$8,最终结果!$E$8),0)</f>
        <v>132</v>
      </c>
      <c r="F448">
        <f ca="1">ROUND(NORMINV(RAND(),最终结果!$I$12,最终结果!$E$12),0)</f>
        <v>113</v>
      </c>
      <c r="G448" t="str">
        <f t="shared" ca="1" si="14"/>
        <v>Away</v>
      </c>
      <c r="H448" t="str">
        <f ca="1">IF(E448+最终结果!$G$8&gt;simulation!F448,"W","L")</f>
        <v>W</v>
      </c>
      <c r="I448" t="str">
        <f ca="1">IF(F448+最终结果!$G$12&gt;simulation!E448,"W","L")</f>
        <v>L</v>
      </c>
      <c r="J448" t="str">
        <f ca="1">IF((E448+F448)&gt;最终结果!$H$8,"Over","Under")</f>
        <v>Over</v>
      </c>
    </row>
    <row r="449" spans="3:10" x14ac:dyDescent="0.25">
      <c r="C449">
        <v>448</v>
      </c>
      <c r="D449" t="str">
        <f t="shared" ca="1" si="13"/>
        <v>-1</v>
      </c>
      <c r="E449">
        <f ca="1">ROUND(NORMINV(RAND(),最终结果!$I$8,最终结果!$E$8),0)</f>
        <v>128</v>
      </c>
      <c r="F449">
        <f ca="1">ROUND(NORMINV(RAND(),最终结果!$I$12,最终结果!$E$12),0)</f>
        <v>134</v>
      </c>
      <c r="G449" t="str">
        <f t="shared" ca="1" si="14"/>
        <v>Home</v>
      </c>
      <c r="H449" t="str">
        <f ca="1">IF(E449+最终结果!$G$8&gt;simulation!F449,"W","L")</f>
        <v>L</v>
      </c>
      <c r="I449" t="str">
        <f ca="1">IF(F449+最终结果!$G$12&gt;simulation!E449,"W","L")</f>
        <v>W</v>
      </c>
      <c r="J449" t="str">
        <f ca="1">IF((E449+F449)&gt;最终结果!$H$8,"Over","Under")</f>
        <v>Over</v>
      </c>
    </row>
    <row r="450" spans="3:10" x14ac:dyDescent="0.25">
      <c r="C450">
        <v>449</v>
      </c>
      <c r="D450" t="str">
        <f t="shared" ca="1" si="13"/>
        <v>-1</v>
      </c>
      <c r="E450">
        <f ca="1">ROUND(NORMINV(RAND(),最终结果!$I$8,最终结果!$E$8),0)</f>
        <v>97</v>
      </c>
      <c r="F450">
        <f ca="1">ROUND(NORMINV(RAND(),最终结果!$I$12,最终结果!$E$12),0)</f>
        <v>102</v>
      </c>
      <c r="G450" t="str">
        <f t="shared" ca="1" si="14"/>
        <v>Home</v>
      </c>
      <c r="H450" t="str">
        <f ca="1">IF(E450+最终结果!$G$8&gt;simulation!F450,"W","L")</f>
        <v>L</v>
      </c>
      <c r="I450" t="str">
        <f ca="1">IF(F450+最终结果!$G$12&gt;simulation!E450,"W","L")</f>
        <v>W</v>
      </c>
      <c r="J450" t="str">
        <f ca="1">IF((E450+F450)&gt;最终结果!$H$8,"Over","Under")</f>
        <v>Under</v>
      </c>
    </row>
    <row r="451" spans="3:10" x14ac:dyDescent="0.25">
      <c r="C451">
        <v>450</v>
      </c>
      <c r="D451" t="str">
        <f t="shared" ref="D451:D514" ca="1" si="15">IF(E451=F451,0,IF(E451&gt;F451,"1","-1"))</f>
        <v>-1</v>
      </c>
      <c r="E451">
        <f ca="1">ROUND(NORMINV(RAND(),最终结果!$I$8,最终结果!$E$8),0)</f>
        <v>111</v>
      </c>
      <c r="F451">
        <f ca="1">ROUND(NORMINV(RAND(),最终结果!$I$12,最终结果!$E$12),0)</f>
        <v>121</v>
      </c>
      <c r="G451" t="str">
        <f t="shared" ca="1" si="14"/>
        <v>Home</v>
      </c>
      <c r="H451" t="str">
        <f ca="1">IF(E451+最终结果!$G$8&gt;simulation!F451,"W","L")</f>
        <v>L</v>
      </c>
      <c r="I451" t="str">
        <f ca="1">IF(F451+最终结果!$G$12&gt;simulation!E451,"W","L")</f>
        <v>W</v>
      </c>
      <c r="J451" t="str">
        <f ca="1">IF((E451+F451)&gt;最终结果!$H$8,"Over","Under")</f>
        <v>Under</v>
      </c>
    </row>
    <row r="452" spans="3:10" x14ac:dyDescent="0.25">
      <c r="C452">
        <v>451</v>
      </c>
      <c r="D452" t="str">
        <f t="shared" ca="1" si="15"/>
        <v>1</v>
      </c>
      <c r="E452">
        <f ca="1">ROUND(NORMINV(RAND(),最终结果!$I$8,最终结果!$E$8),0)</f>
        <v>117</v>
      </c>
      <c r="F452">
        <f ca="1">ROUND(NORMINV(RAND(),最终结果!$I$12,最终结果!$E$12),0)</f>
        <v>100</v>
      </c>
      <c r="G452" t="str">
        <f t="shared" ca="1" si="14"/>
        <v>Away</v>
      </c>
      <c r="H452" t="str">
        <f ca="1">IF(E452+最终结果!$G$8&gt;simulation!F452,"W","L")</f>
        <v>W</v>
      </c>
      <c r="I452" t="str">
        <f ca="1">IF(F452+最终结果!$G$12&gt;simulation!E452,"W","L")</f>
        <v>L</v>
      </c>
      <c r="J452" t="str">
        <f ca="1">IF((E452+F452)&gt;最终结果!$H$8,"Over","Under")</f>
        <v>Under</v>
      </c>
    </row>
    <row r="453" spans="3:10" x14ac:dyDescent="0.25">
      <c r="C453">
        <v>452</v>
      </c>
      <c r="D453" t="str">
        <f t="shared" ca="1" si="15"/>
        <v>-1</v>
      </c>
      <c r="E453">
        <f ca="1">ROUND(NORMINV(RAND(),最终结果!$I$8,最终结果!$E$8),0)</f>
        <v>115</v>
      </c>
      <c r="F453">
        <f ca="1">ROUND(NORMINV(RAND(),最终结果!$I$12,最终结果!$E$12),0)</f>
        <v>123</v>
      </c>
      <c r="G453" t="str">
        <f t="shared" ca="1" si="14"/>
        <v>Home</v>
      </c>
      <c r="H453" t="str">
        <f ca="1">IF(E453+最终结果!$G$8&gt;simulation!F453,"W","L")</f>
        <v>L</v>
      </c>
      <c r="I453" t="str">
        <f ca="1">IF(F453+最终结果!$G$12&gt;simulation!E453,"W","L")</f>
        <v>W</v>
      </c>
      <c r="J453" t="str">
        <f ca="1">IF((E453+F453)&gt;最终结果!$H$8,"Over","Under")</f>
        <v>Over</v>
      </c>
    </row>
    <row r="454" spans="3:10" x14ac:dyDescent="0.25">
      <c r="C454">
        <v>453</v>
      </c>
      <c r="D454" t="str">
        <f t="shared" ca="1" si="15"/>
        <v>1</v>
      </c>
      <c r="E454">
        <f ca="1">ROUND(NORMINV(RAND(),最终结果!$I$8,最终结果!$E$8),0)</f>
        <v>107</v>
      </c>
      <c r="F454">
        <f ca="1">ROUND(NORMINV(RAND(),最终结果!$I$12,最终结果!$E$12),0)</f>
        <v>105</v>
      </c>
      <c r="G454" t="str">
        <f t="shared" ca="1" si="14"/>
        <v>Away</v>
      </c>
      <c r="H454" t="str">
        <f ca="1">IF(E454+最终结果!$G$8&gt;simulation!F454,"W","L")</f>
        <v>W</v>
      </c>
      <c r="I454" t="str">
        <f ca="1">IF(F454+最终结果!$G$12&gt;simulation!E454,"W","L")</f>
        <v>L</v>
      </c>
      <c r="J454" t="str">
        <f ca="1">IF((E454+F454)&gt;最终结果!$H$8,"Over","Under")</f>
        <v>Under</v>
      </c>
    </row>
    <row r="455" spans="3:10" x14ac:dyDescent="0.25">
      <c r="C455">
        <v>454</v>
      </c>
      <c r="D455" t="str">
        <f t="shared" ca="1" si="15"/>
        <v>1</v>
      </c>
      <c r="E455">
        <f ca="1">ROUND(NORMINV(RAND(),最终结果!$I$8,最终结果!$E$8),0)</f>
        <v>115</v>
      </c>
      <c r="F455">
        <f ca="1">ROUND(NORMINV(RAND(),最终结果!$I$12,最终结果!$E$12),0)</f>
        <v>112</v>
      </c>
      <c r="G455" t="str">
        <f t="shared" ca="1" si="14"/>
        <v>Away</v>
      </c>
      <c r="H455" t="str">
        <f ca="1">IF(E455+最终结果!$G$8&gt;simulation!F455,"W","L")</f>
        <v>W</v>
      </c>
      <c r="I455" t="str">
        <f ca="1">IF(F455+最终结果!$G$12&gt;simulation!E455,"W","L")</f>
        <v>L</v>
      </c>
      <c r="J455" t="str">
        <f ca="1">IF((E455+F455)&gt;最终结果!$H$8,"Over","Under")</f>
        <v>Under</v>
      </c>
    </row>
    <row r="456" spans="3:10" x14ac:dyDescent="0.25">
      <c r="C456">
        <v>455</v>
      </c>
      <c r="D456" t="str">
        <f t="shared" ca="1" si="15"/>
        <v>-1</v>
      </c>
      <c r="E456">
        <f ca="1">ROUND(NORMINV(RAND(),最终结果!$I$8,最终结果!$E$8),0)</f>
        <v>101</v>
      </c>
      <c r="F456">
        <f ca="1">ROUND(NORMINV(RAND(),最终结果!$I$12,最终结果!$E$12),0)</f>
        <v>121</v>
      </c>
      <c r="G456" t="str">
        <f t="shared" ca="1" si="14"/>
        <v>Home</v>
      </c>
      <c r="H456" t="str">
        <f ca="1">IF(E456+最终结果!$G$8&gt;simulation!F456,"W","L")</f>
        <v>L</v>
      </c>
      <c r="I456" t="str">
        <f ca="1">IF(F456+最终结果!$G$12&gt;simulation!E456,"W","L")</f>
        <v>W</v>
      </c>
      <c r="J456" t="str">
        <f ca="1">IF((E456+F456)&gt;最终结果!$H$8,"Over","Under")</f>
        <v>Under</v>
      </c>
    </row>
    <row r="457" spans="3:10" x14ac:dyDescent="0.25">
      <c r="C457">
        <v>456</v>
      </c>
      <c r="D457" t="str">
        <f t="shared" ca="1" si="15"/>
        <v>-1</v>
      </c>
      <c r="E457">
        <f ca="1">ROUND(NORMINV(RAND(),最终结果!$I$8,最终结果!$E$8),0)</f>
        <v>117</v>
      </c>
      <c r="F457">
        <f ca="1">ROUND(NORMINV(RAND(),最终结果!$I$12,最终结果!$E$12),0)</f>
        <v>121</v>
      </c>
      <c r="G457" t="str">
        <f t="shared" ca="1" si="14"/>
        <v>Home</v>
      </c>
      <c r="H457" t="str">
        <f ca="1">IF(E457+最终结果!$G$8&gt;simulation!F457,"W","L")</f>
        <v>L</v>
      </c>
      <c r="I457" t="str">
        <f ca="1">IF(F457+最终结果!$G$12&gt;simulation!E457,"W","L")</f>
        <v>W</v>
      </c>
      <c r="J457" t="str">
        <f ca="1">IF((E457+F457)&gt;最终结果!$H$8,"Over","Under")</f>
        <v>Over</v>
      </c>
    </row>
    <row r="458" spans="3:10" x14ac:dyDescent="0.25">
      <c r="C458">
        <v>457</v>
      </c>
      <c r="D458">
        <f t="shared" ca="1" si="15"/>
        <v>0</v>
      </c>
      <c r="E458">
        <f ca="1">ROUND(NORMINV(RAND(),最终结果!$I$8,最终结果!$E$8),0)</f>
        <v>122</v>
      </c>
      <c r="F458">
        <f ca="1">ROUND(NORMINV(RAND(),最终结果!$I$12,最终结果!$E$12),0)</f>
        <v>122</v>
      </c>
      <c r="G458" t="str">
        <f t="shared" ca="1" si="14"/>
        <v>OT</v>
      </c>
      <c r="H458" t="str">
        <f ca="1">IF(E458+最终结果!$G$8&gt;simulation!F458,"W","L")</f>
        <v>W</v>
      </c>
      <c r="I458" t="str">
        <f ca="1">IF(F458+最终结果!$G$12&gt;simulation!E458,"W","L")</f>
        <v>L</v>
      </c>
      <c r="J458" t="str">
        <f ca="1">IF((E458+F458)&gt;最终结果!$H$8,"Over","Under")</f>
        <v>Over</v>
      </c>
    </row>
    <row r="459" spans="3:10" x14ac:dyDescent="0.25">
      <c r="C459">
        <v>458</v>
      </c>
      <c r="D459" t="str">
        <f t="shared" ca="1" si="15"/>
        <v>-1</v>
      </c>
      <c r="E459">
        <f ca="1">ROUND(NORMINV(RAND(),最终结果!$I$8,最终结果!$E$8),0)</f>
        <v>109</v>
      </c>
      <c r="F459">
        <f ca="1">ROUND(NORMINV(RAND(),最终结果!$I$12,最终结果!$E$12),0)</f>
        <v>123</v>
      </c>
      <c r="G459" t="str">
        <f t="shared" ca="1" si="14"/>
        <v>Home</v>
      </c>
      <c r="H459" t="str">
        <f ca="1">IF(E459+最终结果!$G$8&gt;simulation!F459,"W","L")</f>
        <v>L</v>
      </c>
      <c r="I459" t="str">
        <f ca="1">IF(F459+最终结果!$G$12&gt;simulation!E459,"W","L")</f>
        <v>W</v>
      </c>
      <c r="J459" t="str">
        <f ca="1">IF((E459+F459)&gt;最终结果!$H$8,"Over","Under")</f>
        <v>Under</v>
      </c>
    </row>
    <row r="460" spans="3:10" x14ac:dyDescent="0.25">
      <c r="C460">
        <v>459</v>
      </c>
      <c r="D460" t="str">
        <f t="shared" ca="1" si="15"/>
        <v>-1</v>
      </c>
      <c r="E460">
        <f ca="1">ROUND(NORMINV(RAND(),最终结果!$I$8,最终结果!$E$8),0)</f>
        <v>107</v>
      </c>
      <c r="F460">
        <f ca="1">ROUND(NORMINV(RAND(),最终结果!$I$12,最终结果!$E$12),0)</f>
        <v>115</v>
      </c>
      <c r="G460" t="str">
        <f t="shared" ca="1" si="14"/>
        <v>Home</v>
      </c>
      <c r="H460" t="str">
        <f ca="1">IF(E460+最终结果!$G$8&gt;simulation!F460,"W","L")</f>
        <v>L</v>
      </c>
      <c r="I460" t="str">
        <f ca="1">IF(F460+最终结果!$G$12&gt;simulation!E460,"W","L")</f>
        <v>W</v>
      </c>
      <c r="J460" t="str">
        <f ca="1">IF((E460+F460)&gt;最终结果!$H$8,"Over","Under")</f>
        <v>Under</v>
      </c>
    </row>
    <row r="461" spans="3:10" x14ac:dyDescent="0.25">
      <c r="C461">
        <v>460</v>
      </c>
      <c r="D461" t="str">
        <f t="shared" ca="1" si="15"/>
        <v>-1</v>
      </c>
      <c r="E461">
        <f ca="1">ROUND(NORMINV(RAND(),最终结果!$I$8,最终结果!$E$8),0)</f>
        <v>112</v>
      </c>
      <c r="F461">
        <f ca="1">ROUND(NORMINV(RAND(),最终结果!$I$12,最终结果!$E$12),0)</f>
        <v>128</v>
      </c>
      <c r="G461" t="str">
        <f t="shared" ca="1" si="14"/>
        <v>Home</v>
      </c>
      <c r="H461" t="str">
        <f ca="1">IF(E461+最终结果!$G$8&gt;simulation!F461,"W","L")</f>
        <v>L</v>
      </c>
      <c r="I461" t="str">
        <f ca="1">IF(F461+最终结果!$G$12&gt;simulation!E461,"W","L")</f>
        <v>W</v>
      </c>
      <c r="J461" t="str">
        <f ca="1">IF((E461+F461)&gt;最终结果!$H$8,"Over","Under")</f>
        <v>Over</v>
      </c>
    </row>
    <row r="462" spans="3:10" x14ac:dyDescent="0.25">
      <c r="C462">
        <v>461</v>
      </c>
      <c r="D462" t="str">
        <f t="shared" ca="1" si="15"/>
        <v>1</v>
      </c>
      <c r="E462">
        <f ca="1">ROUND(NORMINV(RAND(),最终结果!$I$8,最终结果!$E$8),0)</f>
        <v>123</v>
      </c>
      <c r="F462">
        <f ca="1">ROUND(NORMINV(RAND(),最终结果!$I$12,最终结果!$E$12),0)</f>
        <v>102</v>
      </c>
      <c r="G462" t="str">
        <f t="shared" ref="G462:G525" ca="1" si="16">IF(E462=F462,"OT",IF(E462&gt;F462,"Away","Home"))</f>
        <v>Away</v>
      </c>
      <c r="H462" t="str">
        <f ca="1">IF(E462+最终结果!$G$8&gt;simulation!F462,"W","L")</f>
        <v>W</v>
      </c>
      <c r="I462" t="str">
        <f ca="1">IF(F462+最终结果!$G$12&gt;simulation!E462,"W","L")</f>
        <v>L</v>
      </c>
      <c r="J462" t="str">
        <f ca="1">IF((E462+F462)&gt;最终结果!$H$8,"Over","Under")</f>
        <v>Under</v>
      </c>
    </row>
    <row r="463" spans="3:10" x14ac:dyDescent="0.25">
      <c r="C463">
        <v>462</v>
      </c>
      <c r="D463" t="str">
        <f t="shared" ca="1" si="15"/>
        <v>-1</v>
      </c>
      <c r="E463">
        <f ca="1">ROUND(NORMINV(RAND(),最终结果!$I$8,最终结果!$E$8),0)</f>
        <v>127</v>
      </c>
      <c r="F463">
        <f ca="1">ROUND(NORMINV(RAND(),最终结果!$I$12,最终结果!$E$12),0)</f>
        <v>142</v>
      </c>
      <c r="G463" t="str">
        <f t="shared" ca="1" si="16"/>
        <v>Home</v>
      </c>
      <c r="H463" t="str">
        <f ca="1">IF(E463+最终结果!$G$8&gt;simulation!F463,"W","L")</f>
        <v>L</v>
      </c>
      <c r="I463" t="str">
        <f ca="1">IF(F463+最终结果!$G$12&gt;simulation!E463,"W","L")</f>
        <v>W</v>
      </c>
      <c r="J463" t="str">
        <f ca="1">IF((E463+F463)&gt;最终结果!$H$8,"Over","Under")</f>
        <v>Over</v>
      </c>
    </row>
    <row r="464" spans="3:10" x14ac:dyDescent="0.25">
      <c r="C464">
        <v>463</v>
      </c>
      <c r="D464" t="str">
        <f t="shared" ca="1" si="15"/>
        <v>1</v>
      </c>
      <c r="E464">
        <f ca="1">ROUND(NORMINV(RAND(),最终结果!$I$8,最终结果!$E$8),0)</f>
        <v>118</v>
      </c>
      <c r="F464">
        <f ca="1">ROUND(NORMINV(RAND(),最终结果!$I$12,最终结果!$E$12),0)</f>
        <v>112</v>
      </c>
      <c r="G464" t="str">
        <f t="shared" ca="1" si="16"/>
        <v>Away</v>
      </c>
      <c r="H464" t="str">
        <f ca="1">IF(E464+最终结果!$G$8&gt;simulation!F464,"W","L")</f>
        <v>W</v>
      </c>
      <c r="I464" t="str">
        <f ca="1">IF(F464+最终结果!$G$12&gt;simulation!E464,"W","L")</f>
        <v>L</v>
      </c>
      <c r="J464" t="str">
        <f ca="1">IF((E464+F464)&gt;最终结果!$H$8,"Over","Under")</f>
        <v>Under</v>
      </c>
    </row>
    <row r="465" spans="3:10" x14ac:dyDescent="0.25">
      <c r="C465">
        <v>464</v>
      </c>
      <c r="D465">
        <f t="shared" ca="1" si="15"/>
        <v>0</v>
      </c>
      <c r="E465">
        <f ca="1">ROUND(NORMINV(RAND(),最终结果!$I$8,最终结果!$E$8),0)</f>
        <v>109</v>
      </c>
      <c r="F465">
        <f ca="1">ROUND(NORMINV(RAND(),最终结果!$I$12,最终结果!$E$12),0)</f>
        <v>109</v>
      </c>
      <c r="G465" t="str">
        <f t="shared" ca="1" si="16"/>
        <v>OT</v>
      </c>
      <c r="H465" t="str">
        <f ca="1">IF(E465+最终结果!$G$8&gt;simulation!F465,"W","L")</f>
        <v>W</v>
      </c>
      <c r="I465" t="str">
        <f ca="1">IF(F465+最终结果!$G$12&gt;simulation!E465,"W","L")</f>
        <v>L</v>
      </c>
      <c r="J465" t="str">
        <f ca="1">IF((E465+F465)&gt;最终结果!$H$8,"Over","Under")</f>
        <v>Under</v>
      </c>
    </row>
    <row r="466" spans="3:10" x14ac:dyDescent="0.25">
      <c r="C466">
        <v>465</v>
      </c>
      <c r="D466" t="str">
        <f t="shared" ca="1" si="15"/>
        <v>-1</v>
      </c>
      <c r="E466">
        <f ca="1">ROUND(NORMINV(RAND(),最终结果!$I$8,最终结果!$E$8),0)</f>
        <v>116</v>
      </c>
      <c r="F466">
        <f ca="1">ROUND(NORMINV(RAND(),最终结果!$I$12,最终结果!$E$12),0)</f>
        <v>124</v>
      </c>
      <c r="G466" t="str">
        <f t="shared" ca="1" si="16"/>
        <v>Home</v>
      </c>
      <c r="H466" t="str">
        <f ca="1">IF(E466+最终结果!$G$8&gt;simulation!F466,"W","L")</f>
        <v>L</v>
      </c>
      <c r="I466" t="str">
        <f ca="1">IF(F466+最终结果!$G$12&gt;simulation!E466,"W","L")</f>
        <v>W</v>
      </c>
      <c r="J466" t="str">
        <f ca="1">IF((E466+F466)&gt;最终结果!$H$8,"Over","Under")</f>
        <v>Over</v>
      </c>
    </row>
    <row r="467" spans="3:10" x14ac:dyDescent="0.25">
      <c r="C467">
        <v>466</v>
      </c>
      <c r="D467" t="str">
        <f t="shared" ca="1" si="15"/>
        <v>-1</v>
      </c>
      <c r="E467">
        <f ca="1">ROUND(NORMINV(RAND(),最终结果!$I$8,最终结果!$E$8),0)</f>
        <v>113</v>
      </c>
      <c r="F467">
        <f ca="1">ROUND(NORMINV(RAND(),最终结果!$I$12,最终结果!$E$12),0)</f>
        <v>126</v>
      </c>
      <c r="G467" t="str">
        <f t="shared" ca="1" si="16"/>
        <v>Home</v>
      </c>
      <c r="H467" t="str">
        <f ca="1">IF(E467+最终结果!$G$8&gt;simulation!F467,"W","L")</f>
        <v>L</v>
      </c>
      <c r="I467" t="str">
        <f ca="1">IF(F467+最终结果!$G$12&gt;simulation!E467,"W","L")</f>
        <v>W</v>
      </c>
      <c r="J467" t="str">
        <f ca="1">IF((E467+F467)&gt;最终结果!$H$8,"Over","Under")</f>
        <v>Over</v>
      </c>
    </row>
    <row r="468" spans="3:10" x14ac:dyDescent="0.25">
      <c r="C468">
        <v>467</v>
      </c>
      <c r="D468" t="str">
        <f t="shared" ca="1" si="15"/>
        <v>1</v>
      </c>
      <c r="E468">
        <f ca="1">ROUND(NORMINV(RAND(),最终结果!$I$8,最终结果!$E$8),0)</f>
        <v>110</v>
      </c>
      <c r="F468">
        <f ca="1">ROUND(NORMINV(RAND(),最终结果!$I$12,最终结果!$E$12),0)</f>
        <v>109</v>
      </c>
      <c r="G468" t="str">
        <f t="shared" ca="1" si="16"/>
        <v>Away</v>
      </c>
      <c r="H468" t="str">
        <f ca="1">IF(E468+最终结果!$G$8&gt;simulation!F468,"W","L")</f>
        <v>W</v>
      </c>
      <c r="I468" t="str">
        <f ca="1">IF(F468+最终结果!$G$12&gt;simulation!E468,"W","L")</f>
        <v>L</v>
      </c>
      <c r="J468" t="str">
        <f ca="1">IF((E468+F468)&gt;最终结果!$H$8,"Over","Under")</f>
        <v>Under</v>
      </c>
    </row>
    <row r="469" spans="3:10" x14ac:dyDescent="0.25">
      <c r="C469">
        <v>468</v>
      </c>
      <c r="D469" t="str">
        <f t="shared" ca="1" si="15"/>
        <v>1</v>
      </c>
      <c r="E469">
        <f ca="1">ROUND(NORMINV(RAND(),最终结果!$I$8,最终结果!$E$8),0)</f>
        <v>106</v>
      </c>
      <c r="F469">
        <f ca="1">ROUND(NORMINV(RAND(),最终结果!$I$12,最终结果!$E$12),0)</f>
        <v>99</v>
      </c>
      <c r="G469" t="str">
        <f t="shared" ca="1" si="16"/>
        <v>Away</v>
      </c>
      <c r="H469" t="str">
        <f ca="1">IF(E469+最终结果!$G$8&gt;simulation!F469,"W","L")</f>
        <v>W</v>
      </c>
      <c r="I469" t="str">
        <f ca="1">IF(F469+最终结果!$G$12&gt;simulation!E469,"W","L")</f>
        <v>L</v>
      </c>
      <c r="J469" t="str">
        <f ca="1">IF((E469+F469)&gt;最终结果!$H$8,"Over","Under")</f>
        <v>Under</v>
      </c>
    </row>
    <row r="470" spans="3:10" x14ac:dyDescent="0.25">
      <c r="C470">
        <v>469</v>
      </c>
      <c r="D470" t="str">
        <f t="shared" ca="1" si="15"/>
        <v>-1</v>
      </c>
      <c r="E470">
        <f ca="1">ROUND(NORMINV(RAND(),最终结果!$I$8,最终结果!$E$8),0)</f>
        <v>108</v>
      </c>
      <c r="F470">
        <f ca="1">ROUND(NORMINV(RAND(),最终结果!$I$12,最终结果!$E$12),0)</f>
        <v>137</v>
      </c>
      <c r="G470" t="str">
        <f t="shared" ca="1" si="16"/>
        <v>Home</v>
      </c>
      <c r="H470" t="str">
        <f ca="1">IF(E470+最终结果!$G$8&gt;simulation!F470,"W","L")</f>
        <v>L</v>
      </c>
      <c r="I470" t="str">
        <f ca="1">IF(F470+最终结果!$G$12&gt;simulation!E470,"W","L")</f>
        <v>W</v>
      </c>
      <c r="J470" t="str">
        <f ca="1">IF((E470+F470)&gt;最终结果!$H$8,"Over","Under")</f>
        <v>Over</v>
      </c>
    </row>
    <row r="471" spans="3:10" x14ac:dyDescent="0.25">
      <c r="C471">
        <v>470</v>
      </c>
      <c r="D471" t="str">
        <f t="shared" ca="1" si="15"/>
        <v>-1</v>
      </c>
      <c r="E471">
        <f ca="1">ROUND(NORMINV(RAND(),最终结果!$I$8,最终结果!$E$8),0)</f>
        <v>108</v>
      </c>
      <c r="F471">
        <f ca="1">ROUND(NORMINV(RAND(),最终结果!$I$12,最终结果!$E$12),0)</f>
        <v>134</v>
      </c>
      <c r="G471" t="str">
        <f t="shared" ca="1" si="16"/>
        <v>Home</v>
      </c>
      <c r="H471" t="str">
        <f ca="1">IF(E471+最终结果!$G$8&gt;simulation!F471,"W","L")</f>
        <v>L</v>
      </c>
      <c r="I471" t="str">
        <f ca="1">IF(F471+最终结果!$G$12&gt;simulation!E471,"W","L")</f>
        <v>W</v>
      </c>
      <c r="J471" t="str">
        <f ca="1">IF((E471+F471)&gt;最终结果!$H$8,"Over","Under")</f>
        <v>Over</v>
      </c>
    </row>
    <row r="472" spans="3:10" x14ac:dyDescent="0.25">
      <c r="C472">
        <v>471</v>
      </c>
      <c r="D472" t="str">
        <f t="shared" ca="1" si="15"/>
        <v>-1</v>
      </c>
      <c r="E472">
        <f ca="1">ROUND(NORMINV(RAND(),最终结果!$I$8,最终结果!$E$8),0)</f>
        <v>113</v>
      </c>
      <c r="F472">
        <f ca="1">ROUND(NORMINV(RAND(),最终结果!$I$12,最终结果!$E$12),0)</f>
        <v>114</v>
      </c>
      <c r="G472" t="str">
        <f t="shared" ca="1" si="16"/>
        <v>Home</v>
      </c>
      <c r="H472" t="str">
        <f ca="1">IF(E472+最终结果!$G$8&gt;simulation!F472,"W","L")</f>
        <v>W</v>
      </c>
      <c r="I472" t="str">
        <f ca="1">IF(F472+最终结果!$G$12&gt;simulation!E472,"W","L")</f>
        <v>L</v>
      </c>
      <c r="J472" t="str">
        <f ca="1">IF((E472+F472)&gt;最终结果!$H$8,"Over","Under")</f>
        <v>Under</v>
      </c>
    </row>
    <row r="473" spans="3:10" x14ac:dyDescent="0.25">
      <c r="C473">
        <v>472</v>
      </c>
      <c r="D473" t="str">
        <f t="shared" ca="1" si="15"/>
        <v>1</v>
      </c>
      <c r="E473">
        <f ca="1">ROUND(NORMINV(RAND(),最终结果!$I$8,最终结果!$E$8),0)</f>
        <v>123</v>
      </c>
      <c r="F473">
        <f ca="1">ROUND(NORMINV(RAND(),最终结果!$I$12,最终结果!$E$12),0)</f>
        <v>103</v>
      </c>
      <c r="G473" t="str">
        <f t="shared" ca="1" si="16"/>
        <v>Away</v>
      </c>
      <c r="H473" t="str">
        <f ca="1">IF(E473+最终结果!$G$8&gt;simulation!F473,"W","L")</f>
        <v>W</v>
      </c>
      <c r="I473" t="str">
        <f ca="1">IF(F473+最终结果!$G$12&gt;simulation!E473,"W","L")</f>
        <v>L</v>
      </c>
      <c r="J473" t="str">
        <f ca="1">IF((E473+F473)&gt;最终结果!$H$8,"Over","Under")</f>
        <v>Under</v>
      </c>
    </row>
    <row r="474" spans="3:10" x14ac:dyDescent="0.25">
      <c r="C474">
        <v>473</v>
      </c>
      <c r="D474" t="str">
        <f t="shared" ca="1" si="15"/>
        <v>-1</v>
      </c>
      <c r="E474">
        <f ca="1">ROUND(NORMINV(RAND(),最终结果!$I$8,最终结果!$E$8),0)</f>
        <v>100</v>
      </c>
      <c r="F474">
        <f ca="1">ROUND(NORMINV(RAND(),最终结果!$I$12,最终结果!$E$12),0)</f>
        <v>124</v>
      </c>
      <c r="G474" t="str">
        <f t="shared" ca="1" si="16"/>
        <v>Home</v>
      </c>
      <c r="H474" t="str">
        <f ca="1">IF(E474+最终结果!$G$8&gt;simulation!F474,"W","L")</f>
        <v>L</v>
      </c>
      <c r="I474" t="str">
        <f ca="1">IF(F474+最终结果!$G$12&gt;simulation!E474,"W","L")</f>
        <v>W</v>
      </c>
      <c r="J474" t="str">
        <f ca="1">IF((E474+F474)&gt;最终结果!$H$8,"Over","Under")</f>
        <v>Under</v>
      </c>
    </row>
    <row r="475" spans="3:10" x14ac:dyDescent="0.25">
      <c r="C475">
        <v>474</v>
      </c>
      <c r="D475" t="str">
        <f t="shared" ca="1" si="15"/>
        <v>1</v>
      </c>
      <c r="E475">
        <f ca="1">ROUND(NORMINV(RAND(),最终结果!$I$8,最终结果!$E$8),0)</f>
        <v>123</v>
      </c>
      <c r="F475">
        <f ca="1">ROUND(NORMINV(RAND(),最终结果!$I$12,最终结果!$E$12),0)</f>
        <v>104</v>
      </c>
      <c r="G475" t="str">
        <f t="shared" ca="1" si="16"/>
        <v>Away</v>
      </c>
      <c r="H475" t="str">
        <f ca="1">IF(E475+最终结果!$G$8&gt;simulation!F475,"W","L")</f>
        <v>W</v>
      </c>
      <c r="I475" t="str">
        <f ca="1">IF(F475+最终结果!$G$12&gt;simulation!E475,"W","L")</f>
        <v>L</v>
      </c>
      <c r="J475" t="str">
        <f ca="1">IF((E475+F475)&gt;最终结果!$H$8,"Over","Under")</f>
        <v>Under</v>
      </c>
    </row>
    <row r="476" spans="3:10" x14ac:dyDescent="0.25">
      <c r="C476">
        <v>475</v>
      </c>
      <c r="D476">
        <f t="shared" ca="1" si="15"/>
        <v>0</v>
      </c>
      <c r="E476">
        <f ca="1">ROUND(NORMINV(RAND(),最终结果!$I$8,最终结果!$E$8),0)</f>
        <v>110</v>
      </c>
      <c r="F476">
        <f ca="1">ROUND(NORMINV(RAND(),最终结果!$I$12,最终结果!$E$12),0)</f>
        <v>110</v>
      </c>
      <c r="G476" t="str">
        <f t="shared" ca="1" si="16"/>
        <v>OT</v>
      </c>
      <c r="H476" t="str">
        <f ca="1">IF(E476+最终结果!$G$8&gt;simulation!F476,"W","L")</f>
        <v>W</v>
      </c>
      <c r="I476" t="str">
        <f ca="1">IF(F476+最终结果!$G$12&gt;simulation!E476,"W","L")</f>
        <v>L</v>
      </c>
      <c r="J476" t="str">
        <f ca="1">IF((E476+F476)&gt;最终结果!$H$8,"Over","Under")</f>
        <v>Under</v>
      </c>
    </row>
    <row r="477" spans="3:10" x14ac:dyDescent="0.25">
      <c r="C477">
        <v>476</v>
      </c>
      <c r="D477" t="str">
        <f t="shared" ca="1" si="15"/>
        <v>1</v>
      </c>
      <c r="E477">
        <f ca="1">ROUND(NORMINV(RAND(),最终结果!$I$8,最终结果!$E$8),0)</f>
        <v>102</v>
      </c>
      <c r="F477">
        <f ca="1">ROUND(NORMINV(RAND(),最终结果!$I$12,最终结果!$E$12),0)</f>
        <v>94</v>
      </c>
      <c r="G477" t="str">
        <f t="shared" ca="1" si="16"/>
        <v>Away</v>
      </c>
      <c r="H477" t="str">
        <f ca="1">IF(E477+最终结果!$G$8&gt;simulation!F477,"W","L")</f>
        <v>W</v>
      </c>
      <c r="I477" t="str">
        <f ca="1">IF(F477+最终结果!$G$12&gt;simulation!E477,"W","L")</f>
        <v>L</v>
      </c>
      <c r="J477" t="str">
        <f ca="1">IF((E477+F477)&gt;最终结果!$H$8,"Over","Under")</f>
        <v>Under</v>
      </c>
    </row>
    <row r="478" spans="3:10" x14ac:dyDescent="0.25">
      <c r="C478">
        <v>477</v>
      </c>
      <c r="D478" t="str">
        <f t="shared" ca="1" si="15"/>
        <v>1</v>
      </c>
      <c r="E478">
        <f ca="1">ROUND(NORMINV(RAND(),最终结果!$I$8,最终结果!$E$8),0)</f>
        <v>136</v>
      </c>
      <c r="F478">
        <f ca="1">ROUND(NORMINV(RAND(),最终结果!$I$12,最终结果!$E$12),0)</f>
        <v>130</v>
      </c>
      <c r="G478" t="str">
        <f t="shared" ca="1" si="16"/>
        <v>Away</v>
      </c>
      <c r="H478" t="str">
        <f ca="1">IF(E478+最终结果!$G$8&gt;simulation!F478,"W","L")</f>
        <v>W</v>
      </c>
      <c r="I478" t="str">
        <f ca="1">IF(F478+最终结果!$G$12&gt;simulation!E478,"W","L")</f>
        <v>L</v>
      </c>
      <c r="J478" t="str">
        <f ca="1">IF((E478+F478)&gt;最终结果!$H$8,"Over","Under")</f>
        <v>Over</v>
      </c>
    </row>
    <row r="479" spans="3:10" x14ac:dyDescent="0.25">
      <c r="C479">
        <v>478</v>
      </c>
      <c r="D479" t="str">
        <f t="shared" ca="1" si="15"/>
        <v>1</v>
      </c>
      <c r="E479">
        <f ca="1">ROUND(NORMINV(RAND(),最终结果!$I$8,最终结果!$E$8),0)</f>
        <v>126</v>
      </c>
      <c r="F479">
        <f ca="1">ROUND(NORMINV(RAND(),最终结果!$I$12,最终结果!$E$12),0)</f>
        <v>115</v>
      </c>
      <c r="G479" t="str">
        <f t="shared" ca="1" si="16"/>
        <v>Away</v>
      </c>
      <c r="H479" t="str">
        <f ca="1">IF(E479+最终结果!$G$8&gt;simulation!F479,"W","L")</f>
        <v>W</v>
      </c>
      <c r="I479" t="str">
        <f ca="1">IF(F479+最终结果!$G$12&gt;simulation!E479,"W","L")</f>
        <v>L</v>
      </c>
      <c r="J479" t="str">
        <f ca="1">IF((E479+F479)&gt;最终结果!$H$8,"Over","Under")</f>
        <v>Over</v>
      </c>
    </row>
    <row r="480" spans="3:10" x14ac:dyDescent="0.25">
      <c r="C480">
        <v>479</v>
      </c>
      <c r="D480" t="str">
        <f t="shared" ca="1" si="15"/>
        <v>-1</v>
      </c>
      <c r="E480">
        <f ca="1">ROUND(NORMINV(RAND(),最终结果!$I$8,最终结果!$E$8),0)</f>
        <v>107</v>
      </c>
      <c r="F480">
        <f ca="1">ROUND(NORMINV(RAND(),最终结果!$I$12,最终结果!$E$12),0)</f>
        <v>122</v>
      </c>
      <c r="G480" t="str">
        <f t="shared" ca="1" si="16"/>
        <v>Home</v>
      </c>
      <c r="H480" t="str">
        <f ca="1">IF(E480+最终结果!$G$8&gt;simulation!F480,"W","L")</f>
        <v>L</v>
      </c>
      <c r="I480" t="str">
        <f ca="1">IF(F480+最终结果!$G$12&gt;simulation!E480,"W","L")</f>
        <v>W</v>
      </c>
      <c r="J480" t="str">
        <f ca="1">IF((E480+F480)&gt;最终结果!$H$8,"Over","Under")</f>
        <v>Under</v>
      </c>
    </row>
    <row r="481" spans="3:10" x14ac:dyDescent="0.25">
      <c r="C481">
        <v>480</v>
      </c>
      <c r="D481" t="str">
        <f t="shared" ca="1" si="15"/>
        <v>1</v>
      </c>
      <c r="E481">
        <f ca="1">ROUND(NORMINV(RAND(),最终结果!$I$8,最终结果!$E$8),0)</f>
        <v>110</v>
      </c>
      <c r="F481">
        <f ca="1">ROUND(NORMINV(RAND(),最终结果!$I$12,最终结果!$E$12),0)</f>
        <v>108</v>
      </c>
      <c r="G481" t="str">
        <f t="shared" ca="1" si="16"/>
        <v>Away</v>
      </c>
      <c r="H481" t="str">
        <f ca="1">IF(E481+最终结果!$G$8&gt;simulation!F481,"W","L")</f>
        <v>W</v>
      </c>
      <c r="I481" t="str">
        <f ca="1">IF(F481+最终结果!$G$12&gt;simulation!E481,"W","L")</f>
        <v>L</v>
      </c>
      <c r="J481" t="str">
        <f ca="1">IF((E481+F481)&gt;最终结果!$H$8,"Over","Under")</f>
        <v>Under</v>
      </c>
    </row>
    <row r="482" spans="3:10" x14ac:dyDescent="0.25">
      <c r="C482">
        <v>481</v>
      </c>
      <c r="D482" t="str">
        <f t="shared" ca="1" si="15"/>
        <v>1</v>
      </c>
      <c r="E482">
        <f ca="1">ROUND(NORMINV(RAND(),最终结果!$I$8,最终结果!$E$8),0)</f>
        <v>122</v>
      </c>
      <c r="F482">
        <f ca="1">ROUND(NORMINV(RAND(),最终结果!$I$12,最终结果!$E$12),0)</f>
        <v>109</v>
      </c>
      <c r="G482" t="str">
        <f t="shared" ca="1" si="16"/>
        <v>Away</v>
      </c>
      <c r="H482" t="str">
        <f ca="1">IF(E482+最终结果!$G$8&gt;simulation!F482,"W","L")</f>
        <v>W</v>
      </c>
      <c r="I482" t="str">
        <f ca="1">IF(F482+最终结果!$G$12&gt;simulation!E482,"W","L")</f>
        <v>L</v>
      </c>
      <c r="J482" t="str">
        <f ca="1">IF((E482+F482)&gt;最终结果!$H$8,"Over","Under")</f>
        <v>Under</v>
      </c>
    </row>
    <row r="483" spans="3:10" x14ac:dyDescent="0.25">
      <c r="C483">
        <v>482</v>
      </c>
      <c r="D483" t="str">
        <f t="shared" ca="1" si="15"/>
        <v>-1</v>
      </c>
      <c r="E483">
        <f ca="1">ROUND(NORMINV(RAND(),最终结果!$I$8,最终结果!$E$8),0)</f>
        <v>116</v>
      </c>
      <c r="F483">
        <f ca="1">ROUND(NORMINV(RAND(),最终结果!$I$12,最终结果!$E$12),0)</f>
        <v>126</v>
      </c>
      <c r="G483" t="str">
        <f t="shared" ca="1" si="16"/>
        <v>Home</v>
      </c>
      <c r="H483" t="str">
        <f ca="1">IF(E483+最终结果!$G$8&gt;simulation!F483,"W","L")</f>
        <v>L</v>
      </c>
      <c r="I483" t="str">
        <f ca="1">IF(F483+最终结果!$G$12&gt;simulation!E483,"W","L")</f>
        <v>W</v>
      </c>
      <c r="J483" t="str">
        <f ca="1">IF((E483+F483)&gt;最终结果!$H$8,"Over","Under")</f>
        <v>Over</v>
      </c>
    </row>
    <row r="484" spans="3:10" x14ac:dyDescent="0.25">
      <c r="C484">
        <v>483</v>
      </c>
      <c r="D484" t="str">
        <f t="shared" ca="1" si="15"/>
        <v>-1</v>
      </c>
      <c r="E484">
        <f ca="1">ROUND(NORMINV(RAND(),最终结果!$I$8,最终结果!$E$8),0)</f>
        <v>102</v>
      </c>
      <c r="F484">
        <f ca="1">ROUND(NORMINV(RAND(),最终结果!$I$12,最终结果!$E$12),0)</f>
        <v>123</v>
      </c>
      <c r="G484" t="str">
        <f t="shared" ca="1" si="16"/>
        <v>Home</v>
      </c>
      <c r="H484" t="str">
        <f ca="1">IF(E484+最终结果!$G$8&gt;simulation!F484,"W","L")</f>
        <v>L</v>
      </c>
      <c r="I484" t="str">
        <f ca="1">IF(F484+最终结果!$G$12&gt;simulation!E484,"W","L")</f>
        <v>W</v>
      </c>
      <c r="J484" t="str">
        <f ca="1">IF((E484+F484)&gt;最终结果!$H$8,"Over","Under")</f>
        <v>Under</v>
      </c>
    </row>
    <row r="485" spans="3:10" x14ac:dyDescent="0.25">
      <c r="C485">
        <v>484</v>
      </c>
      <c r="D485" t="str">
        <f t="shared" ca="1" si="15"/>
        <v>1</v>
      </c>
      <c r="E485">
        <f ca="1">ROUND(NORMINV(RAND(),最终结果!$I$8,最终结果!$E$8),0)</f>
        <v>121</v>
      </c>
      <c r="F485">
        <f ca="1">ROUND(NORMINV(RAND(),最终结果!$I$12,最终结果!$E$12),0)</f>
        <v>97</v>
      </c>
      <c r="G485" t="str">
        <f t="shared" ca="1" si="16"/>
        <v>Away</v>
      </c>
      <c r="H485" t="str">
        <f ca="1">IF(E485+最终结果!$G$8&gt;simulation!F485,"W","L")</f>
        <v>W</v>
      </c>
      <c r="I485" t="str">
        <f ca="1">IF(F485+最终结果!$G$12&gt;simulation!E485,"W","L")</f>
        <v>L</v>
      </c>
      <c r="J485" t="str">
        <f ca="1">IF((E485+F485)&gt;最终结果!$H$8,"Over","Under")</f>
        <v>Under</v>
      </c>
    </row>
    <row r="486" spans="3:10" x14ac:dyDescent="0.25">
      <c r="C486">
        <v>485</v>
      </c>
      <c r="D486" t="str">
        <f t="shared" ca="1" si="15"/>
        <v>-1</v>
      </c>
      <c r="E486">
        <f ca="1">ROUND(NORMINV(RAND(),最终结果!$I$8,最终结果!$E$8),0)</f>
        <v>98</v>
      </c>
      <c r="F486">
        <f ca="1">ROUND(NORMINV(RAND(),最终结果!$I$12,最终结果!$E$12),0)</f>
        <v>128</v>
      </c>
      <c r="G486" t="str">
        <f t="shared" ca="1" si="16"/>
        <v>Home</v>
      </c>
      <c r="H486" t="str">
        <f ca="1">IF(E486+最终结果!$G$8&gt;simulation!F486,"W","L")</f>
        <v>L</v>
      </c>
      <c r="I486" t="str">
        <f ca="1">IF(F486+最终结果!$G$12&gt;simulation!E486,"W","L")</f>
        <v>W</v>
      </c>
      <c r="J486" t="str">
        <f ca="1">IF((E486+F486)&gt;最终结果!$H$8,"Over","Under")</f>
        <v>Under</v>
      </c>
    </row>
    <row r="487" spans="3:10" x14ac:dyDescent="0.25">
      <c r="C487">
        <v>486</v>
      </c>
      <c r="D487" t="str">
        <f t="shared" ca="1" si="15"/>
        <v>-1</v>
      </c>
      <c r="E487">
        <f ca="1">ROUND(NORMINV(RAND(),最终结果!$I$8,最终结果!$E$8),0)</f>
        <v>119</v>
      </c>
      <c r="F487">
        <f ca="1">ROUND(NORMINV(RAND(),最终结果!$I$12,最终结果!$E$12),0)</f>
        <v>149</v>
      </c>
      <c r="G487" t="str">
        <f t="shared" ca="1" si="16"/>
        <v>Home</v>
      </c>
      <c r="H487" t="str">
        <f ca="1">IF(E487+最终结果!$G$8&gt;simulation!F487,"W","L")</f>
        <v>L</v>
      </c>
      <c r="I487" t="str">
        <f ca="1">IF(F487+最终结果!$G$12&gt;simulation!E487,"W","L")</f>
        <v>W</v>
      </c>
      <c r="J487" t="str">
        <f ca="1">IF((E487+F487)&gt;最终结果!$H$8,"Over","Under")</f>
        <v>Over</v>
      </c>
    </row>
    <row r="488" spans="3:10" x14ac:dyDescent="0.25">
      <c r="C488">
        <v>487</v>
      </c>
      <c r="D488" t="str">
        <f t="shared" ca="1" si="15"/>
        <v>-1</v>
      </c>
      <c r="E488">
        <f ca="1">ROUND(NORMINV(RAND(),最终结果!$I$8,最终结果!$E$8),0)</f>
        <v>102</v>
      </c>
      <c r="F488">
        <f ca="1">ROUND(NORMINV(RAND(),最终结果!$I$12,最终结果!$E$12),0)</f>
        <v>116</v>
      </c>
      <c r="G488" t="str">
        <f t="shared" ca="1" si="16"/>
        <v>Home</v>
      </c>
      <c r="H488" t="str">
        <f ca="1">IF(E488+最终结果!$G$8&gt;simulation!F488,"W","L")</f>
        <v>L</v>
      </c>
      <c r="I488" t="str">
        <f ca="1">IF(F488+最终结果!$G$12&gt;simulation!E488,"W","L")</f>
        <v>W</v>
      </c>
      <c r="J488" t="str">
        <f ca="1">IF((E488+F488)&gt;最终结果!$H$8,"Over","Under")</f>
        <v>Under</v>
      </c>
    </row>
    <row r="489" spans="3:10" x14ac:dyDescent="0.25">
      <c r="C489">
        <v>488</v>
      </c>
      <c r="D489">
        <f t="shared" ca="1" si="15"/>
        <v>0</v>
      </c>
      <c r="E489">
        <f ca="1">ROUND(NORMINV(RAND(),最终结果!$I$8,最终结果!$E$8),0)</f>
        <v>110</v>
      </c>
      <c r="F489">
        <f ca="1">ROUND(NORMINV(RAND(),最终结果!$I$12,最终结果!$E$12),0)</f>
        <v>110</v>
      </c>
      <c r="G489" t="str">
        <f t="shared" ca="1" si="16"/>
        <v>OT</v>
      </c>
      <c r="H489" t="str">
        <f ca="1">IF(E489+最终结果!$G$8&gt;simulation!F489,"W","L")</f>
        <v>W</v>
      </c>
      <c r="I489" t="str">
        <f ca="1">IF(F489+最终结果!$G$12&gt;simulation!E489,"W","L")</f>
        <v>L</v>
      </c>
      <c r="J489" t="str">
        <f ca="1">IF((E489+F489)&gt;最终结果!$H$8,"Over","Under")</f>
        <v>Under</v>
      </c>
    </row>
    <row r="490" spans="3:10" x14ac:dyDescent="0.25">
      <c r="C490">
        <v>489</v>
      </c>
      <c r="D490" t="str">
        <f t="shared" ca="1" si="15"/>
        <v>-1</v>
      </c>
      <c r="E490">
        <f ca="1">ROUND(NORMINV(RAND(),最终结果!$I$8,最终结果!$E$8),0)</f>
        <v>116</v>
      </c>
      <c r="F490">
        <f ca="1">ROUND(NORMINV(RAND(),最终结果!$I$12,最终结果!$E$12),0)</f>
        <v>137</v>
      </c>
      <c r="G490" t="str">
        <f t="shared" ca="1" si="16"/>
        <v>Home</v>
      </c>
      <c r="H490" t="str">
        <f ca="1">IF(E490+最终结果!$G$8&gt;simulation!F490,"W","L")</f>
        <v>L</v>
      </c>
      <c r="I490" t="str">
        <f ca="1">IF(F490+最终结果!$G$12&gt;simulation!E490,"W","L")</f>
        <v>W</v>
      </c>
      <c r="J490" t="str">
        <f ca="1">IF((E490+F490)&gt;最终结果!$H$8,"Over","Under")</f>
        <v>Over</v>
      </c>
    </row>
    <row r="491" spans="3:10" x14ac:dyDescent="0.25">
      <c r="C491">
        <v>490</v>
      </c>
      <c r="D491" t="str">
        <f t="shared" ca="1" si="15"/>
        <v>-1</v>
      </c>
      <c r="E491">
        <f ca="1">ROUND(NORMINV(RAND(),最终结果!$I$8,最终结果!$E$8),0)</f>
        <v>126</v>
      </c>
      <c r="F491">
        <f ca="1">ROUND(NORMINV(RAND(),最终结果!$I$12,最终结果!$E$12),0)</f>
        <v>131</v>
      </c>
      <c r="G491" t="str">
        <f t="shared" ca="1" si="16"/>
        <v>Home</v>
      </c>
      <c r="H491" t="str">
        <f ca="1">IF(E491+最终结果!$G$8&gt;simulation!F491,"W","L")</f>
        <v>L</v>
      </c>
      <c r="I491" t="str">
        <f ca="1">IF(F491+最终结果!$G$12&gt;simulation!E491,"W","L")</f>
        <v>W</v>
      </c>
      <c r="J491" t="str">
        <f ca="1">IF((E491+F491)&gt;最终结果!$H$8,"Over","Under")</f>
        <v>Over</v>
      </c>
    </row>
    <row r="492" spans="3:10" x14ac:dyDescent="0.25">
      <c r="C492">
        <v>491</v>
      </c>
      <c r="D492" t="str">
        <f t="shared" ca="1" si="15"/>
        <v>-1</v>
      </c>
      <c r="E492">
        <f ca="1">ROUND(NORMINV(RAND(),最终结果!$I$8,最终结果!$E$8),0)</f>
        <v>102</v>
      </c>
      <c r="F492">
        <f ca="1">ROUND(NORMINV(RAND(),最终结果!$I$12,最终结果!$E$12),0)</f>
        <v>119</v>
      </c>
      <c r="G492" t="str">
        <f t="shared" ca="1" si="16"/>
        <v>Home</v>
      </c>
      <c r="H492" t="str">
        <f ca="1">IF(E492+最终结果!$G$8&gt;simulation!F492,"W","L")</f>
        <v>L</v>
      </c>
      <c r="I492" t="str">
        <f ca="1">IF(F492+最终结果!$G$12&gt;simulation!E492,"W","L")</f>
        <v>W</v>
      </c>
      <c r="J492" t="str">
        <f ca="1">IF((E492+F492)&gt;最终结果!$H$8,"Over","Under")</f>
        <v>Under</v>
      </c>
    </row>
    <row r="493" spans="3:10" x14ac:dyDescent="0.25">
      <c r="C493">
        <v>492</v>
      </c>
      <c r="D493" t="str">
        <f t="shared" ca="1" si="15"/>
        <v>-1</v>
      </c>
      <c r="E493">
        <f ca="1">ROUND(NORMINV(RAND(),最终结果!$I$8,最终结果!$E$8),0)</f>
        <v>120</v>
      </c>
      <c r="F493">
        <f ca="1">ROUND(NORMINV(RAND(),最终结果!$I$12,最终结果!$E$12),0)</f>
        <v>122</v>
      </c>
      <c r="G493" t="str">
        <f t="shared" ca="1" si="16"/>
        <v>Home</v>
      </c>
      <c r="H493" t="str">
        <f ca="1">IF(E493+最终结果!$G$8&gt;simulation!F493,"W","L")</f>
        <v>W</v>
      </c>
      <c r="I493" t="str">
        <f ca="1">IF(F493+最终结果!$G$12&gt;simulation!E493,"W","L")</f>
        <v>L</v>
      </c>
      <c r="J493" t="str">
        <f ca="1">IF((E493+F493)&gt;最终结果!$H$8,"Over","Under")</f>
        <v>Over</v>
      </c>
    </row>
    <row r="494" spans="3:10" x14ac:dyDescent="0.25">
      <c r="C494">
        <v>493</v>
      </c>
      <c r="D494" t="str">
        <f t="shared" ca="1" si="15"/>
        <v>1</v>
      </c>
      <c r="E494">
        <f ca="1">ROUND(NORMINV(RAND(),最终结果!$I$8,最终结果!$E$8),0)</f>
        <v>115</v>
      </c>
      <c r="F494">
        <f ca="1">ROUND(NORMINV(RAND(),最终结果!$I$12,最终结果!$E$12),0)</f>
        <v>99</v>
      </c>
      <c r="G494" t="str">
        <f t="shared" ca="1" si="16"/>
        <v>Away</v>
      </c>
      <c r="H494" t="str">
        <f ca="1">IF(E494+最终结果!$G$8&gt;simulation!F494,"W","L")</f>
        <v>W</v>
      </c>
      <c r="I494" t="str">
        <f ca="1">IF(F494+最终结果!$G$12&gt;simulation!E494,"W","L")</f>
        <v>L</v>
      </c>
      <c r="J494" t="str">
        <f ca="1">IF((E494+F494)&gt;最终结果!$H$8,"Over","Under")</f>
        <v>Under</v>
      </c>
    </row>
    <row r="495" spans="3:10" x14ac:dyDescent="0.25">
      <c r="C495">
        <v>494</v>
      </c>
      <c r="D495" t="str">
        <f t="shared" ca="1" si="15"/>
        <v>-1</v>
      </c>
      <c r="E495">
        <f ca="1">ROUND(NORMINV(RAND(),最终结果!$I$8,最终结果!$E$8),0)</f>
        <v>106</v>
      </c>
      <c r="F495">
        <f ca="1">ROUND(NORMINV(RAND(),最终结果!$I$12,最终结果!$E$12),0)</f>
        <v>116</v>
      </c>
      <c r="G495" t="str">
        <f t="shared" ca="1" si="16"/>
        <v>Home</v>
      </c>
      <c r="H495" t="str">
        <f ca="1">IF(E495+最终结果!$G$8&gt;simulation!F495,"W","L")</f>
        <v>L</v>
      </c>
      <c r="I495" t="str">
        <f ca="1">IF(F495+最终结果!$G$12&gt;simulation!E495,"W","L")</f>
        <v>W</v>
      </c>
      <c r="J495" t="str">
        <f ca="1">IF((E495+F495)&gt;最终结果!$H$8,"Over","Under")</f>
        <v>Under</v>
      </c>
    </row>
    <row r="496" spans="3:10" x14ac:dyDescent="0.25">
      <c r="C496">
        <v>495</v>
      </c>
      <c r="D496" t="str">
        <f t="shared" ca="1" si="15"/>
        <v>-1</v>
      </c>
      <c r="E496">
        <f ca="1">ROUND(NORMINV(RAND(),最终结果!$I$8,最终结果!$E$8),0)</f>
        <v>117</v>
      </c>
      <c r="F496">
        <f ca="1">ROUND(NORMINV(RAND(),最终结果!$I$12,最终结果!$E$12),0)</f>
        <v>123</v>
      </c>
      <c r="G496" t="str">
        <f t="shared" ca="1" si="16"/>
        <v>Home</v>
      </c>
      <c r="H496" t="str">
        <f ca="1">IF(E496+最终结果!$G$8&gt;simulation!F496,"W","L")</f>
        <v>L</v>
      </c>
      <c r="I496" t="str">
        <f ca="1">IF(F496+最终结果!$G$12&gt;simulation!E496,"W","L")</f>
        <v>W</v>
      </c>
      <c r="J496" t="str">
        <f ca="1">IF((E496+F496)&gt;最终结果!$H$8,"Over","Under")</f>
        <v>Over</v>
      </c>
    </row>
    <row r="497" spans="3:10" x14ac:dyDescent="0.25">
      <c r="C497">
        <v>496</v>
      </c>
      <c r="D497" t="str">
        <f t="shared" ca="1" si="15"/>
        <v>1</v>
      </c>
      <c r="E497">
        <f ca="1">ROUND(NORMINV(RAND(),最终结果!$I$8,最终结果!$E$8),0)</f>
        <v>116</v>
      </c>
      <c r="F497">
        <f ca="1">ROUND(NORMINV(RAND(),最终结果!$I$12,最终结果!$E$12),0)</f>
        <v>89</v>
      </c>
      <c r="G497" t="str">
        <f t="shared" ca="1" si="16"/>
        <v>Away</v>
      </c>
      <c r="H497" t="str">
        <f ca="1">IF(E497+最终结果!$G$8&gt;simulation!F497,"W","L")</f>
        <v>W</v>
      </c>
      <c r="I497" t="str">
        <f ca="1">IF(F497+最终结果!$G$12&gt;simulation!E497,"W","L")</f>
        <v>L</v>
      </c>
      <c r="J497" t="str">
        <f ca="1">IF((E497+F497)&gt;最终结果!$H$8,"Over","Under")</f>
        <v>Under</v>
      </c>
    </row>
    <row r="498" spans="3:10" x14ac:dyDescent="0.25">
      <c r="C498">
        <v>497</v>
      </c>
      <c r="D498" t="str">
        <f t="shared" ca="1" si="15"/>
        <v>-1</v>
      </c>
      <c r="E498">
        <f ca="1">ROUND(NORMINV(RAND(),最终结果!$I$8,最终结果!$E$8),0)</f>
        <v>121</v>
      </c>
      <c r="F498">
        <f ca="1">ROUND(NORMINV(RAND(),最终结果!$I$12,最终结果!$E$12),0)</f>
        <v>131</v>
      </c>
      <c r="G498" t="str">
        <f t="shared" ca="1" si="16"/>
        <v>Home</v>
      </c>
      <c r="H498" t="str">
        <f ca="1">IF(E498+最终结果!$G$8&gt;simulation!F498,"W","L")</f>
        <v>L</v>
      </c>
      <c r="I498" t="str">
        <f ca="1">IF(F498+最终结果!$G$12&gt;simulation!E498,"W","L")</f>
        <v>W</v>
      </c>
      <c r="J498" t="str">
        <f ca="1">IF((E498+F498)&gt;最终结果!$H$8,"Over","Under")</f>
        <v>Over</v>
      </c>
    </row>
    <row r="499" spans="3:10" x14ac:dyDescent="0.25">
      <c r="C499">
        <v>498</v>
      </c>
      <c r="D499" t="str">
        <f t="shared" ca="1" si="15"/>
        <v>-1</v>
      </c>
      <c r="E499">
        <f ca="1">ROUND(NORMINV(RAND(),最终结果!$I$8,最终结果!$E$8),0)</f>
        <v>110</v>
      </c>
      <c r="F499">
        <f ca="1">ROUND(NORMINV(RAND(),最终结果!$I$12,最终结果!$E$12),0)</f>
        <v>123</v>
      </c>
      <c r="G499" t="str">
        <f t="shared" ca="1" si="16"/>
        <v>Home</v>
      </c>
      <c r="H499" t="str">
        <f ca="1">IF(E499+最终结果!$G$8&gt;simulation!F499,"W","L")</f>
        <v>L</v>
      </c>
      <c r="I499" t="str">
        <f ca="1">IF(F499+最终结果!$G$12&gt;simulation!E499,"W","L")</f>
        <v>W</v>
      </c>
      <c r="J499" t="str">
        <f ca="1">IF((E499+F499)&gt;最终结果!$H$8,"Over","Under")</f>
        <v>Under</v>
      </c>
    </row>
    <row r="500" spans="3:10" x14ac:dyDescent="0.25">
      <c r="C500">
        <v>499</v>
      </c>
      <c r="D500" t="str">
        <f t="shared" ca="1" si="15"/>
        <v>-1</v>
      </c>
      <c r="E500">
        <f ca="1">ROUND(NORMINV(RAND(),最终结果!$I$8,最终结果!$E$8),0)</f>
        <v>118</v>
      </c>
      <c r="F500">
        <f ca="1">ROUND(NORMINV(RAND(),最终结果!$I$12,最终结果!$E$12),0)</f>
        <v>127</v>
      </c>
      <c r="G500" t="str">
        <f t="shared" ca="1" si="16"/>
        <v>Home</v>
      </c>
      <c r="H500" t="str">
        <f ca="1">IF(E500+最终结果!$G$8&gt;simulation!F500,"W","L")</f>
        <v>L</v>
      </c>
      <c r="I500" t="str">
        <f ca="1">IF(F500+最终结果!$G$12&gt;simulation!E500,"W","L")</f>
        <v>W</v>
      </c>
      <c r="J500" t="str">
        <f ca="1">IF((E500+F500)&gt;最终结果!$H$8,"Over","Under")</f>
        <v>Over</v>
      </c>
    </row>
    <row r="501" spans="3:10" x14ac:dyDescent="0.25">
      <c r="C501">
        <v>500</v>
      </c>
      <c r="D501" t="str">
        <f t="shared" ca="1" si="15"/>
        <v>-1</v>
      </c>
      <c r="E501">
        <f ca="1">ROUND(NORMINV(RAND(),最终结果!$I$8,最终结果!$E$8),0)</f>
        <v>92</v>
      </c>
      <c r="F501">
        <f ca="1">ROUND(NORMINV(RAND(),最终结果!$I$12,最终结果!$E$12),0)</f>
        <v>126</v>
      </c>
      <c r="G501" t="str">
        <f t="shared" ca="1" si="16"/>
        <v>Home</v>
      </c>
      <c r="H501" t="str">
        <f ca="1">IF(E501+最终结果!$G$8&gt;simulation!F501,"W","L")</f>
        <v>L</v>
      </c>
      <c r="I501" t="str">
        <f ca="1">IF(F501+最终结果!$G$12&gt;simulation!E501,"W","L")</f>
        <v>W</v>
      </c>
      <c r="J501" t="str">
        <f ca="1">IF((E501+F501)&gt;最终结果!$H$8,"Over","Under")</f>
        <v>Under</v>
      </c>
    </row>
    <row r="502" spans="3:10" x14ac:dyDescent="0.25">
      <c r="C502">
        <v>501</v>
      </c>
      <c r="D502" t="str">
        <f t="shared" ca="1" si="15"/>
        <v>-1</v>
      </c>
      <c r="E502">
        <f ca="1">ROUND(NORMINV(RAND(),最终结果!$I$8,最终结果!$E$8),0)</f>
        <v>110</v>
      </c>
      <c r="F502">
        <f ca="1">ROUND(NORMINV(RAND(),最终结果!$I$12,最终结果!$E$12),0)</f>
        <v>123</v>
      </c>
      <c r="G502" t="str">
        <f t="shared" ca="1" si="16"/>
        <v>Home</v>
      </c>
      <c r="H502" t="str">
        <f ca="1">IF(E502+最终结果!$G$8&gt;simulation!F502,"W","L")</f>
        <v>L</v>
      </c>
      <c r="I502" t="str">
        <f ca="1">IF(F502+最终结果!$G$12&gt;simulation!E502,"W","L")</f>
        <v>W</v>
      </c>
      <c r="J502" t="str">
        <f ca="1">IF((E502+F502)&gt;最终结果!$H$8,"Over","Under")</f>
        <v>Under</v>
      </c>
    </row>
    <row r="503" spans="3:10" x14ac:dyDescent="0.25">
      <c r="C503">
        <v>502</v>
      </c>
      <c r="D503" t="str">
        <f t="shared" ca="1" si="15"/>
        <v>-1</v>
      </c>
      <c r="E503">
        <f ca="1">ROUND(NORMINV(RAND(),最终结果!$I$8,最终结果!$E$8),0)</f>
        <v>110</v>
      </c>
      <c r="F503">
        <f ca="1">ROUND(NORMINV(RAND(),最终结果!$I$12,最终结果!$E$12),0)</f>
        <v>146</v>
      </c>
      <c r="G503" t="str">
        <f t="shared" ca="1" si="16"/>
        <v>Home</v>
      </c>
      <c r="H503" t="str">
        <f ca="1">IF(E503+最终结果!$G$8&gt;simulation!F503,"W","L")</f>
        <v>L</v>
      </c>
      <c r="I503" t="str">
        <f ca="1">IF(F503+最终结果!$G$12&gt;simulation!E503,"W","L")</f>
        <v>W</v>
      </c>
      <c r="J503" t="str">
        <f ca="1">IF((E503+F503)&gt;最终结果!$H$8,"Over","Under")</f>
        <v>Over</v>
      </c>
    </row>
    <row r="504" spans="3:10" x14ac:dyDescent="0.25">
      <c r="C504">
        <v>503</v>
      </c>
      <c r="D504" t="str">
        <f t="shared" ca="1" si="15"/>
        <v>1</v>
      </c>
      <c r="E504">
        <f ca="1">ROUND(NORMINV(RAND(),最终结果!$I$8,最终结果!$E$8),0)</f>
        <v>130</v>
      </c>
      <c r="F504">
        <f ca="1">ROUND(NORMINV(RAND(),最终结果!$I$12,最终结果!$E$12),0)</f>
        <v>125</v>
      </c>
      <c r="G504" t="str">
        <f t="shared" ca="1" si="16"/>
        <v>Away</v>
      </c>
      <c r="H504" t="str">
        <f ca="1">IF(E504+最终结果!$G$8&gt;simulation!F504,"W","L")</f>
        <v>W</v>
      </c>
      <c r="I504" t="str">
        <f ca="1">IF(F504+最终结果!$G$12&gt;simulation!E504,"W","L")</f>
        <v>L</v>
      </c>
      <c r="J504" t="str">
        <f ca="1">IF((E504+F504)&gt;最终结果!$H$8,"Over","Under")</f>
        <v>Over</v>
      </c>
    </row>
    <row r="505" spans="3:10" x14ac:dyDescent="0.25">
      <c r="C505">
        <v>504</v>
      </c>
      <c r="D505" t="str">
        <f t="shared" ca="1" si="15"/>
        <v>-1</v>
      </c>
      <c r="E505">
        <f ca="1">ROUND(NORMINV(RAND(),最终结果!$I$8,最终结果!$E$8),0)</f>
        <v>115</v>
      </c>
      <c r="F505">
        <f ca="1">ROUND(NORMINV(RAND(),最终结果!$I$12,最终结果!$E$12),0)</f>
        <v>123</v>
      </c>
      <c r="G505" t="str">
        <f t="shared" ca="1" si="16"/>
        <v>Home</v>
      </c>
      <c r="H505" t="str">
        <f ca="1">IF(E505+最终结果!$G$8&gt;simulation!F505,"W","L")</f>
        <v>L</v>
      </c>
      <c r="I505" t="str">
        <f ca="1">IF(F505+最终结果!$G$12&gt;simulation!E505,"W","L")</f>
        <v>W</v>
      </c>
      <c r="J505" t="str">
        <f ca="1">IF((E505+F505)&gt;最终结果!$H$8,"Over","Under")</f>
        <v>Over</v>
      </c>
    </row>
    <row r="506" spans="3:10" x14ac:dyDescent="0.25">
      <c r="C506">
        <v>505</v>
      </c>
      <c r="D506" t="str">
        <f t="shared" ca="1" si="15"/>
        <v>-1</v>
      </c>
      <c r="E506">
        <f ca="1">ROUND(NORMINV(RAND(),最终结果!$I$8,最终结果!$E$8),0)</f>
        <v>120</v>
      </c>
      <c r="F506">
        <f ca="1">ROUND(NORMINV(RAND(),最终结果!$I$12,最终结果!$E$12),0)</f>
        <v>122</v>
      </c>
      <c r="G506" t="str">
        <f t="shared" ca="1" si="16"/>
        <v>Home</v>
      </c>
      <c r="H506" t="str">
        <f ca="1">IF(E506+最终结果!$G$8&gt;simulation!F506,"W","L")</f>
        <v>W</v>
      </c>
      <c r="I506" t="str">
        <f ca="1">IF(F506+最终结果!$G$12&gt;simulation!E506,"W","L")</f>
        <v>L</v>
      </c>
      <c r="J506" t="str">
        <f ca="1">IF((E506+F506)&gt;最终结果!$H$8,"Over","Under")</f>
        <v>Over</v>
      </c>
    </row>
    <row r="507" spans="3:10" x14ac:dyDescent="0.25">
      <c r="C507">
        <v>506</v>
      </c>
      <c r="D507" t="str">
        <f t="shared" ca="1" si="15"/>
        <v>1</v>
      </c>
      <c r="E507">
        <f ca="1">ROUND(NORMINV(RAND(),最终结果!$I$8,最终结果!$E$8),0)</f>
        <v>110</v>
      </c>
      <c r="F507">
        <f ca="1">ROUND(NORMINV(RAND(),最终结果!$I$12,最终结果!$E$12),0)</f>
        <v>102</v>
      </c>
      <c r="G507" t="str">
        <f t="shared" ca="1" si="16"/>
        <v>Away</v>
      </c>
      <c r="H507" t="str">
        <f ca="1">IF(E507+最终结果!$G$8&gt;simulation!F507,"W","L")</f>
        <v>W</v>
      </c>
      <c r="I507" t="str">
        <f ca="1">IF(F507+最终结果!$G$12&gt;simulation!E507,"W","L")</f>
        <v>L</v>
      </c>
      <c r="J507" t="str">
        <f ca="1">IF((E507+F507)&gt;最终结果!$H$8,"Over","Under")</f>
        <v>Under</v>
      </c>
    </row>
    <row r="508" spans="3:10" x14ac:dyDescent="0.25">
      <c r="C508">
        <v>507</v>
      </c>
      <c r="D508" t="str">
        <f t="shared" ca="1" si="15"/>
        <v>-1</v>
      </c>
      <c r="E508">
        <f ca="1">ROUND(NORMINV(RAND(),最终结果!$I$8,最终结果!$E$8),0)</f>
        <v>113</v>
      </c>
      <c r="F508">
        <f ca="1">ROUND(NORMINV(RAND(),最终结果!$I$12,最终结果!$E$12),0)</f>
        <v>128</v>
      </c>
      <c r="G508" t="str">
        <f t="shared" ca="1" si="16"/>
        <v>Home</v>
      </c>
      <c r="H508" t="str">
        <f ca="1">IF(E508+最终结果!$G$8&gt;simulation!F508,"W","L")</f>
        <v>L</v>
      </c>
      <c r="I508" t="str">
        <f ca="1">IF(F508+最终结果!$G$12&gt;simulation!E508,"W","L")</f>
        <v>W</v>
      </c>
      <c r="J508" t="str">
        <f ca="1">IF((E508+F508)&gt;最终结果!$H$8,"Over","Under")</f>
        <v>Over</v>
      </c>
    </row>
    <row r="509" spans="3:10" x14ac:dyDescent="0.25">
      <c r="C509">
        <v>508</v>
      </c>
      <c r="D509" t="str">
        <f t="shared" ca="1" si="15"/>
        <v>-1</v>
      </c>
      <c r="E509">
        <f ca="1">ROUND(NORMINV(RAND(),最终结果!$I$8,最终结果!$E$8),0)</f>
        <v>103</v>
      </c>
      <c r="F509">
        <f ca="1">ROUND(NORMINV(RAND(),最终结果!$I$12,最终结果!$E$12),0)</f>
        <v>113</v>
      </c>
      <c r="G509" t="str">
        <f t="shared" ca="1" si="16"/>
        <v>Home</v>
      </c>
      <c r="H509" t="str">
        <f ca="1">IF(E509+最终结果!$G$8&gt;simulation!F509,"W","L")</f>
        <v>L</v>
      </c>
      <c r="I509" t="str">
        <f ca="1">IF(F509+最终结果!$G$12&gt;simulation!E509,"W","L")</f>
        <v>W</v>
      </c>
      <c r="J509" t="str">
        <f ca="1">IF((E509+F509)&gt;最终结果!$H$8,"Over","Under")</f>
        <v>Under</v>
      </c>
    </row>
    <row r="510" spans="3:10" x14ac:dyDescent="0.25">
      <c r="C510">
        <v>509</v>
      </c>
      <c r="D510" t="str">
        <f t="shared" ca="1" si="15"/>
        <v>-1</v>
      </c>
      <c r="E510">
        <f ca="1">ROUND(NORMINV(RAND(),最终结果!$I$8,最终结果!$E$8),0)</f>
        <v>97</v>
      </c>
      <c r="F510">
        <f ca="1">ROUND(NORMINV(RAND(),最终结果!$I$12,最终结果!$E$12),0)</f>
        <v>109</v>
      </c>
      <c r="G510" t="str">
        <f t="shared" ca="1" si="16"/>
        <v>Home</v>
      </c>
      <c r="H510" t="str">
        <f ca="1">IF(E510+最终结果!$G$8&gt;simulation!F510,"W","L")</f>
        <v>L</v>
      </c>
      <c r="I510" t="str">
        <f ca="1">IF(F510+最终结果!$G$12&gt;simulation!E510,"W","L")</f>
        <v>W</v>
      </c>
      <c r="J510" t="str">
        <f ca="1">IF((E510+F510)&gt;最终结果!$H$8,"Over","Under")</f>
        <v>Under</v>
      </c>
    </row>
    <row r="511" spans="3:10" x14ac:dyDescent="0.25">
      <c r="C511">
        <v>510</v>
      </c>
      <c r="D511" t="str">
        <f t="shared" ca="1" si="15"/>
        <v>1</v>
      </c>
      <c r="E511">
        <f ca="1">ROUND(NORMINV(RAND(),最终结果!$I$8,最终结果!$E$8),0)</f>
        <v>112</v>
      </c>
      <c r="F511">
        <f ca="1">ROUND(NORMINV(RAND(),最终结果!$I$12,最终结果!$E$12),0)</f>
        <v>107</v>
      </c>
      <c r="G511" t="str">
        <f t="shared" ca="1" si="16"/>
        <v>Away</v>
      </c>
      <c r="H511" t="str">
        <f ca="1">IF(E511+最终结果!$G$8&gt;simulation!F511,"W","L")</f>
        <v>W</v>
      </c>
      <c r="I511" t="str">
        <f ca="1">IF(F511+最终结果!$G$12&gt;simulation!E511,"W","L")</f>
        <v>L</v>
      </c>
      <c r="J511" t="str">
        <f ca="1">IF((E511+F511)&gt;最终结果!$H$8,"Over","Under")</f>
        <v>Under</v>
      </c>
    </row>
    <row r="512" spans="3:10" x14ac:dyDescent="0.25">
      <c r="C512">
        <v>511</v>
      </c>
      <c r="D512" t="str">
        <f t="shared" ca="1" si="15"/>
        <v>1</v>
      </c>
      <c r="E512">
        <f ca="1">ROUND(NORMINV(RAND(),最终结果!$I$8,最终结果!$E$8),0)</f>
        <v>138</v>
      </c>
      <c r="F512">
        <f ca="1">ROUND(NORMINV(RAND(),最终结果!$I$12,最终结果!$E$12),0)</f>
        <v>131</v>
      </c>
      <c r="G512" t="str">
        <f t="shared" ca="1" si="16"/>
        <v>Away</v>
      </c>
      <c r="H512" t="str">
        <f ca="1">IF(E512+最终结果!$G$8&gt;simulation!F512,"W","L")</f>
        <v>W</v>
      </c>
      <c r="I512" t="str">
        <f ca="1">IF(F512+最终结果!$G$12&gt;simulation!E512,"W","L")</f>
        <v>L</v>
      </c>
      <c r="J512" t="str">
        <f ca="1">IF((E512+F512)&gt;最终结果!$H$8,"Over","Under")</f>
        <v>Over</v>
      </c>
    </row>
    <row r="513" spans="3:10" x14ac:dyDescent="0.25">
      <c r="C513">
        <v>512</v>
      </c>
      <c r="D513">
        <f t="shared" ca="1" si="15"/>
        <v>0</v>
      </c>
      <c r="E513">
        <f ca="1">ROUND(NORMINV(RAND(),最终结果!$I$8,最终结果!$E$8),0)</f>
        <v>125</v>
      </c>
      <c r="F513">
        <f ca="1">ROUND(NORMINV(RAND(),最终结果!$I$12,最终结果!$E$12),0)</f>
        <v>125</v>
      </c>
      <c r="G513" t="str">
        <f t="shared" ca="1" si="16"/>
        <v>OT</v>
      </c>
      <c r="H513" t="str">
        <f ca="1">IF(E513+最终结果!$G$8&gt;simulation!F513,"W","L")</f>
        <v>W</v>
      </c>
      <c r="I513" t="str">
        <f ca="1">IF(F513+最终结果!$G$12&gt;simulation!E513,"W","L")</f>
        <v>L</v>
      </c>
      <c r="J513" t="str">
        <f ca="1">IF((E513+F513)&gt;最终结果!$H$8,"Over","Under")</f>
        <v>Over</v>
      </c>
    </row>
    <row r="514" spans="3:10" x14ac:dyDescent="0.25">
      <c r="C514">
        <v>513</v>
      </c>
      <c r="D514" t="str">
        <f t="shared" ca="1" si="15"/>
        <v>-1</v>
      </c>
      <c r="E514">
        <f ca="1">ROUND(NORMINV(RAND(),最终结果!$I$8,最终结果!$E$8),0)</f>
        <v>133</v>
      </c>
      <c r="F514">
        <f ca="1">ROUND(NORMINV(RAND(),最终结果!$I$12,最终结果!$E$12),0)</f>
        <v>137</v>
      </c>
      <c r="G514" t="str">
        <f t="shared" ca="1" si="16"/>
        <v>Home</v>
      </c>
      <c r="H514" t="str">
        <f ca="1">IF(E514+最终结果!$G$8&gt;simulation!F514,"W","L")</f>
        <v>L</v>
      </c>
      <c r="I514" t="str">
        <f ca="1">IF(F514+最终结果!$G$12&gt;simulation!E514,"W","L")</f>
        <v>W</v>
      </c>
      <c r="J514" t="str">
        <f ca="1">IF((E514+F514)&gt;最终结果!$H$8,"Over","Under")</f>
        <v>Over</v>
      </c>
    </row>
    <row r="515" spans="3:10" x14ac:dyDescent="0.25">
      <c r="C515">
        <v>514</v>
      </c>
      <c r="D515" t="str">
        <f t="shared" ref="D515:D578" ca="1" si="17">IF(E515=F515,0,IF(E515&gt;F515,"1","-1"))</f>
        <v>-1</v>
      </c>
      <c r="E515">
        <f ca="1">ROUND(NORMINV(RAND(),最终结果!$I$8,最终结果!$E$8),0)</f>
        <v>92</v>
      </c>
      <c r="F515">
        <f ca="1">ROUND(NORMINV(RAND(),最终结果!$I$12,最终结果!$E$12),0)</f>
        <v>137</v>
      </c>
      <c r="G515" t="str">
        <f t="shared" ca="1" si="16"/>
        <v>Home</v>
      </c>
      <c r="H515" t="str">
        <f ca="1">IF(E515+最终结果!$G$8&gt;simulation!F515,"W","L")</f>
        <v>L</v>
      </c>
      <c r="I515" t="str">
        <f ca="1">IF(F515+最终结果!$G$12&gt;simulation!E515,"W","L")</f>
        <v>W</v>
      </c>
      <c r="J515" t="str">
        <f ca="1">IF((E515+F515)&gt;最终结果!$H$8,"Over","Under")</f>
        <v>Under</v>
      </c>
    </row>
    <row r="516" spans="3:10" x14ac:dyDescent="0.25">
      <c r="C516">
        <v>515</v>
      </c>
      <c r="D516" t="str">
        <f t="shared" ca="1" si="17"/>
        <v>-1</v>
      </c>
      <c r="E516">
        <f ca="1">ROUND(NORMINV(RAND(),最终结果!$I$8,最终结果!$E$8),0)</f>
        <v>106</v>
      </c>
      <c r="F516">
        <f ca="1">ROUND(NORMINV(RAND(),最终结果!$I$12,最终结果!$E$12),0)</f>
        <v>108</v>
      </c>
      <c r="G516" t="str">
        <f t="shared" ca="1" si="16"/>
        <v>Home</v>
      </c>
      <c r="H516" t="str">
        <f ca="1">IF(E516+最终结果!$G$8&gt;simulation!F516,"W","L")</f>
        <v>W</v>
      </c>
      <c r="I516" t="str">
        <f ca="1">IF(F516+最终结果!$G$12&gt;simulation!E516,"W","L")</f>
        <v>L</v>
      </c>
      <c r="J516" t="str">
        <f ca="1">IF((E516+F516)&gt;最终结果!$H$8,"Over","Under")</f>
        <v>Under</v>
      </c>
    </row>
    <row r="517" spans="3:10" x14ac:dyDescent="0.25">
      <c r="C517">
        <v>516</v>
      </c>
      <c r="D517" t="str">
        <f t="shared" ca="1" si="17"/>
        <v>-1</v>
      </c>
      <c r="E517">
        <f ca="1">ROUND(NORMINV(RAND(),最终结果!$I$8,最终结果!$E$8),0)</f>
        <v>95</v>
      </c>
      <c r="F517">
        <f ca="1">ROUND(NORMINV(RAND(),最终结果!$I$12,最终结果!$E$12),0)</f>
        <v>123</v>
      </c>
      <c r="G517" t="str">
        <f t="shared" ca="1" si="16"/>
        <v>Home</v>
      </c>
      <c r="H517" t="str">
        <f ca="1">IF(E517+最终结果!$G$8&gt;simulation!F517,"W","L")</f>
        <v>L</v>
      </c>
      <c r="I517" t="str">
        <f ca="1">IF(F517+最终结果!$G$12&gt;simulation!E517,"W","L")</f>
        <v>W</v>
      </c>
      <c r="J517" t="str">
        <f ca="1">IF((E517+F517)&gt;最终结果!$H$8,"Over","Under")</f>
        <v>Under</v>
      </c>
    </row>
    <row r="518" spans="3:10" x14ac:dyDescent="0.25">
      <c r="C518">
        <v>517</v>
      </c>
      <c r="D518" t="str">
        <f t="shared" ca="1" si="17"/>
        <v>-1</v>
      </c>
      <c r="E518">
        <f ca="1">ROUND(NORMINV(RAND(),最终结果!$I$8,最终结果!$E$8),0)</f>
        <v>112</v>
      </c>
      <c r="F518">
        <f ca="1">ROUND(NORMINV(RAND(),最终结果!$I$12,最终结果!$E$12),0)</f>
        <v>126</v>
      </c>
      <c r="G518" t="str">
        <f t="shared" ca="1" si="16"/>
        <v>Home</v>
      </c>
      <c r="H518" t="str">
        <f ca="1">IF(E518+最终结果!$G$8&gt;simulation!F518,"W","L")</f>
        <v>L</v>
      </c>
      <c r="I518" t="str">
        <f ca="1">IF(F518+最终结果!$G$12&gt;simulation!E518,"W","L")</f>
        <v>W</v>
      </c>
      <c r="J518" t="str">
        <f ca="1">IF((E518+F518)&gt;最终结果!$H$8,"Over","Under")</f>
        <v>Over</v>
      </c>
    </row>
    <row r="519" spans="3:10" x14ac:dyDescent="0.25">
      <c r="C519">
        <v>518</v>
      </c>
      <c r="D519" t="str">
        <f t="shared" ca="1" si="17"/>
        <v>-1</v>
      </c>
      <c r="E519">
        <f ca="1">ROUND(NORMINV(RAND(),最终结果!$I$8,最终结果!$E$8),0)</f>
        <v>114</v>
      </c>
      <c r="F519">
        <f ca="1">ROUND(NORMINV(RAND(),最终结果!$I$12,最终结果!$E$12),0)</f>
        <v>127</v>
      </c>
      <c r="G519" t="str">
        <f t="shared" ca="1" si="16"/>
        <v>Home</v>
      </c>
      <c r="H519" t="str">
        <f ca="1">IF(E519+最终结果!$G$8&gt;simulation!F519,"W","L")</f>
        <v>L</v>
      </c>
      <c r="I519" t="str">
        <f ca="1">IF(F519+最终结果!$G$12&gt;simulation!E519,"W","L")</f>
        <v>W</v>
      </c>
      <c r="J519" t="str">
        <f ca="1">IF((E519+F519)&gt;最终结果!$H$8,"Over","Under")</f>
        <v>Over</v>
      </c>
    </row>
    <row r="520" spans="3:10" x14ac:dyDescent="0.25">
      <c r="C520">
        <v>519</v>
      </c>
      <c r="D520" t="str">
        <f t="shared" ca="1" si="17"/>
        <v>-1</v>
      </c>
      <c r="E520">
        <f ca="1">ROUND(NORMINV(RAND(),最终结果!$I$8,最终结果!$E$8),0)</f>
        <v>101</v>
      </c>
      <c r="F520">
        <f ca="1">ROUND(NORMINV(RAND(),最终结果!$I$12,最终结果!$E$12),0)</f>
        <v>119</v>
      </c>
      <c r="G520" t="str">
        <f t="shared" ca="1" si="16"/>
        <v>Home</v>
      </c>
      <c r="H520" t="str">
        <f ca="1">IF(E520+最终结果!$G$8&gt;simulation!F520,"W","L")</f>
        <v>L</v>
      </c>
      <c r="I520" t="str">
        <f ca="1">IF(F520+最终结果!$G$12&gt;simulation!E520,"W","L")</f>
        <v>W</v>
      </c>
      <c r="J520" t="str">
        <f ca="1">IF((E520+F520)&gt;最终结果!$H$8,"Over","Under")</f>
        <v>Under</v>
      </c>
    </row>
    <row r="521" spans="3:10" x14ac:dyDescent="0.25">
      <c r="C521">
        <v>520</v>
      </c>
      <c r="D521" t="str">
        <f t="shared" ca="1" si="17"/>
        <v>-1</v>
      </c>
      <c r="E521">
        <f ca="1">ROUND(NORMINV(RAND(),最终结果!$I$8,最终结果!$E$8),0)</f>
        <v>115</v>
      </c>
      <c r="F521">
        <f ca="1">ROUND(NORMINV(RAND(),最终结果!$I$12,最终结果!$E$12),0)</f>
        <v>123</v>
      </c>
      <c r="G521" t="str">
        <f t="shared" ca="1" si="16"/>
        <v>Home</v>
      </c>
      <c r="H521" t="str">
        <f ca="1">IF(E521+最终结果!$G$8&gt;simulation!F521,"W","L")</f>
        <v>L</v>
      </c>
      <c r="I521" t="str">
        <f ca="1">IF(F521+最终结果!$G$12&gt;simulation!E521,"W","L")</f>
        <v>W</v>
      </c>
      <c r="J521" t="str">
        <f ca="1">IF((E521+F521)&gt;最终结果!$H$8,"Over","Under")</f>
        <v>Over</v>
      </c>
    </row>
    <row r="522" spans="3:10" x14ac:dyDescent="0.25">
      <c r="C522">
        <v>521</v>
      </c>
      <c r="D522" t="str">
        <f t="shared" ca="1" si="17"/>
        <v>-1</v>
      </c>
      <c r="E522">
        <f ca="1">ROUND(NORMINV(RAND(),最终结果!$I$8,最终结果!$E$8),0)</f>
        <v>94</v>
      </c>
      <c r="F522">
        <f ca="1">ROUND(NORMINV(RAND(),最终结果!$I$12,最终结果!$E$12),0)</f>
        <v>100</v>
      </c>
      <c r="G522" t="str">
        <f t="shared" ca="1" si="16"/>
        <v>Home</v>
      </c>
      <c r="H522" t="str">
        <f ca="1">IF(E522+最终结果!$G$8&gt;simulation!F522,"W","L")</f>
        <v>L</v>
      </c>
      <c r="I522" t="str">
        <f ca="1">IF(F522+最终结果!$G$12&gt;simulation!E522,"W","L")</f>
        <v>W</v>
      </c>
      <c r="J522" t="str">
        <f ca="1">IF((E522+F522)&gt;最终结果!$H$8,"Over","Under")</f>
        <v>Under</v>
      </c>
    </row>
    <row r="523" spans="3:10" x14ac:dyDescent="0.25">
      <c r="C523">
        <v>522</v>
      </c>
      <c r="D523" t="str">
        <f t="shared" ca="1" si="17"/>
        <v>-1</v>
      </c>
      <c r="E523">
        <f ca="1">ROUND(NORMINV(RAND(),最终结果!$I$8,最终结果!$E$8),0)</f>
        <v>108</v>
      </c>
      <c r="F523">
        <f ca="1">ROUND(NORMINV(RAND(),最终结果!$I$12,最终结果!$E$12),0)</f>
        <v>139</v>
      </c>
      <c r="G523" t="str">
        <f t="shared" ca="1" si="16"/>
        <v>Home</v>
      </c>
      <c r="H523" t="str">
        <f ca="1">IF(E523+最终结果!$G$8&gt;simulation!F523,"W","L")</f>
        <v>L</v>
      </c>
      <c r="I523" t="str">
        <f ca="1">IF(F523+最终结果!$G$12&gt;simulation!E523,"W","L")</f>
        <v>W</v>
      </c>
      <c r="J523" t="str">
        <f ca="1">IF((E523+F523)&gt;最终结果!$H$8,"Over","Under")</f>
        <v>Over</v>
      </c>
    </row>
    <row r="524" spans="3:10" x14ac:dyDescent="0.25">
      <c r="C524">
        <v>523</v>
      </c>
      <c r="D524" t="str">
        <f t="shared" ca="1" si="17"/>
        <v>-1</v>
      </c>
      <c r="E524">
        <f ca="1">ROUND(NORMINV(RAND(),最终结果!$I$8,最终结果!$E$8),0)</f>
        <v>114</v>
      </c>
      <c r="F524">
        <f ca="1">ROUND(NORMINV(RAND(),最终结果!$I$12,最终结果!$E$12),0)</f>
        <v>133</v>
      </c>
      <c r="G524" t="str">
        <f t="shared" ca="1" si="16"/>
        <v>Home</v>
      </c>
      <c r="H524" t="str">
        <f ca="1">IF(E524+最终结果!$G$8&gt;simulation!F524,"W","L")</f>
        <v>L</v>
      </c>
      <c r="I524" t="str">
        <f ca="1">IF(F524+最终结果!$G$12&gt;simulation!E524,"W","L")</f>
        <v>W</v>
      </c>
      <c r="J524" t="str">
        <f ca="1">IF((E524+F524)&gt;最终结果!$H$8,"Over","Under")</f>
        <v>Over</v>
      </c>
    </row>
    <row r="525" spans="3:10" x14ac:dyDescent="0.25">
      <c r="C525">
        <v>524</v>
      </c>
      <c r="D525" t="str">
        <f t="shared" ca="1" si="17"/>
        <v>-1</v>
      </c>
      <c r="E525">
        <f ca="1">ROUND(NORMINV(RAND(),最终结果!$I$8,最终结果!$E$8),0)</f>
        <v>105</v>
      </c>
      <c r="F525">
        <f ca="1">ROUND(NORMINV(RAND(),最终结果!$I$12,最终结果!$E$12),0)</f>
        <v>112</v>
      </c>
      <c r="G525" t="str">
        <f t="shared" ca="1" si="16"/>
        <v>Home</v>
      </c>
      <c r="H525" t="str">
        <f ca="1">IF(E525+最终结果!$G$8&gt;simulation!F525,"W","L")</f>
        <v>L</v>
      </c>
      <c r="I525" t="str">
        <f ca="1">IF(F525+最终结果!$G$12&gt;simulation!E525,"W","L")</f>
        <v>W</v>
      </c>
      <c r="J525" t="str">
        <f ca="1">IF((E525+F525)&gt;最终结果!$H$8,"Over","Under")</f>
        <v>Under</v>
      </c>
    </row>
    <row r="526" spans="3:10" x14ac:dyDescent="0.25">
      <c r="C526">
        <v>525</v>
      </c>
      <c r="D526" t="str">
        <f t="shared" ca="1" si="17"/>
        <v>-1</v>
      </c>
      <c r="E526">
        <f ca="1">ROUND(NORMINV(RAND(),最终结果!$I$8,最终结果!$E$8),0)</f>
        <v>120</v>
      </c>
      <c r="F526">
        <f ca="1">ROUND(NORMINV(RAND(),最终结果!$I$12,最终结果!$E$12),0)</f>
        <v>131</v>
      </c>
      <c r="G526" t="str">
        <f t="shared" ref="G526:G589" ca="1" si="18">IF(E526=F526,"OT",IF(E526&gt;F526,"Away","Home"))</f>
        <v>Home</v>
      </c>
      <c r="H526" t="str">
        <f ca="1">IF(E526+最终结果!$G$8&gt;simulation!F526,"W","L")</f>
        <v>L</v>
      </c>
      <c r="I526" t="str">
        <f ca="1">IF(F526+最终结果!$G$12&gt;simulation!E526,"W","L")</f>
        <v>W</v>
      </c>
      <c r="J526" t="str">
        <f ca="1">IF((E526+F526)&gt;最终结果!$H$8,"Over","Under")</f>
        <v>Over</v>
      </c>
    </row>
    <row r="527" spans="3:10" x14ac:dyDescent="0.25">
      <c r="C527">
        <v>526</v>
      </c>
      <c r="D527" t="str">
        <f t="shared" ca="1" si="17"/>
        <v>1</v>
      </c>
      <c r="E527">
        <f ca="1">ROUND(NORMINV(RAND(),最终结果!$I$8,最终结果!$E$8),0)</f>
        <v>139</v>
      </c>
      <c r="F527">
        <f ca="1">ROUND(NORMINV(RAND(),最终结果!$I$12,最终结果!$E$12),0)</f>
        <v>115</v>
      </c>
      <c r="G527" t="str">
        <f t="shared" ca="1" si="18"/>
        <v>Away</v>
      </c>
      <c r="H527" t="str">
        <f ca="1">IF(E527+最终结果!$G$8&gt;simulation!F527,"W","L")</f>
        <v>W</v>
      </c>
      <c r="I527" t="str">
        <f ca="1">IF(F527+最终结果!$G$12&gt;simulation!E527,"W","L")</f>
        <v>L</v>
      </c>
      <c r="J527" t="str">
        <f ca="1">IF((E527+F527)&gt;最终结果!$H$8,"Over","Under")</f>
        <v>Over</v>
      </c>
    </row>
    <row r="528" spans="3:10" x14ac:dyDescent="0.25">
      <c r="C528">
        <v>527</v>
      </c>
      <c r="D528" t="str">
        <f t="shared" ca="1" si="17"/>
        <v>1</v>
      </c>
      <c r="E528">
        <f ca="1">ROUND(NORMINV(RAND(),最终结果!$I$8,最终结果!$E$8),0)</f>
        <v>125</v>
      </c>
      <c r="F528">
        <f ca="1">ROUND(NORMINV(RAND(),最终结果!$I$12,最终结果!$E$12),0)</f>
        <v>121</v>
      </c>
      <c r="G528" t="str">
        <f t="shared" ca="1" si="18"/>
        <v>Away</v>
      </c>
      <c r="H528" t="str">
        <f ca="1">IF(E528+最终结果!$G$8&gt;simulation!F528,"W","L")</f>
        <v>W</v>
      </c>
      <c r="I528" t="str">
        <f ca="1">IF(F528+最终结果!$G$12&gt;simulation!E528,"W","L")</f>
        <v>L</v>
      </c>
      <c r="J528" t="str">
        <f ca="1">IF((E528+F528)&gt;最终结果!$H$8,"Over","Under")</f>
        <v>Over</v>
      </c>
    </row>
    <row r="529" spans="3:10" x14ac:dyDescent="0.25">
      <c r="C529">
        <v>528</v>
      </c>
      <c r="D529" t="str">
        <f t="shared" ca="1" si="17"/>
        <v>1</v>
      </c>
      <c r="E529">
        <f ca="1">ROUND(NORMINV(RAND(),最终结果!$I$8,最终结果!$E$8),0)</f>
        <v>108</v>
      </c>
      <c r="F529">
        <f ca="1">ROUND(NORMINV(RAND(),最终结果!$I$12,最终结果!$E$12),0)</f>
        <v>106</v>
      </c>
      <c r="G529" t="str">
        <f t="shared" ca="1" si="18"/>
        <v>Away</v>
      </c>
      <c r="H529" t="str">
        <f ca="1">IF(E529+最终结果!$G$8&gt;simulation!F529,"W","L")</f>
        <v>W</v>
      </c>
      <c r="I529" t="str">
        <f ca="1">IF(F529+最终结果!$G$12&gt;simulation!E529,"W","L")</f>
        <v>L</v>
      </c>
      <c r="J529" t="str">
        <f ca="1">IF((E529+F529)&gt;最终结果!$H$8,"Over","Under")</f>
        <v>Under</v>
      </c>
    </row>
    <row r="530" spans="3:10" x14ac:dyDescent="0.25">
      <c r="C530">
        <v>529</v>
      </c>
      <c r="D530" t="str">
        <f t="shared" ca="1" si="17"/>
        <v>1</v>
      </c>
      <c r="E530">
        <f ca="1">ROUND(NORMINV(RAND(),最终结果!$I$8,最终结果!$E$8),0)</f>
        <v>114</v>
      </c>
      <c r="F530">
        <f ca="1">ROUND(NORMINV(RAND(),最终结果!$I$12,最终结果!$E$12),0)</f>
        <v>109</v>
      </c>
      <c r="G530" t="str">
        <f t="shared" ca="1" si="18"/>
        <v>Away</v>
      </c>
      <c r="H530" t="str">
        <f ca="1">IF(E530+最终结果!$G$8&gt;simulation!F530,"W","L")</f>
        <v>W</v>
      </c>
      <c r="I530" t="str">
        <f ca="1">IF(F530+最终结果!$G$12&gt;simulation!E530,"W","L")</f>
        <v>L</v>
      </c>
      <c r="J530" t="str">
        <f ca="1">IF((E530+F530)&gt;最终结果!$H$8,"Over","Under")</f>
        <v>Under</v>
      </c>
    </row>
    <row r="531" spans="3:10" x14ac:dyDescent="0.25">
      <c r="C531">
        <v>530</v>
      </c>
      <c r="D531" t="str">
        <f t="shared" ca="1" si="17"/>
        <v>1</v>
      </c>
      <c r="E531">
        <f ca="1">ROUND(NORMINV(RAND(),最终结果!$I$8,最终结果!$E$8),0)</f>
        <v>115</v>
      </c>
      <c r="F531">
        <f ca="1">ROUND(NORMINV(RAND(),最终结果!$I$12,最终结果!$E$12),0)</f>
        <v>109</v>
      </c>
      <c r="G531" t="str">
        <f t="shared" ca="1" si="18"/>
        <v>Away</v>
      </c>
      <c r="H531" t="str">
        <f ca="1">IF(E531+最终结果!$G$8&gt;simulation!F531,"W","L")</f>
        <v>W</v>
      </c>
      <c r="I531" t="str">
        <f ca="1">IF(F531+最终结果!$G$12&gt;simulation!E531,"W","L")</f>
        <v>L</v>
      </c>
      <c r="J531" t="str">
        <f ca="1">IF((E531+F531)&gt;最终结果!$H$8,"Over","Under")</f>
        <v>Under</v>
      </c>
    </row>
    <row r="532" spans="3:10" x14ac:dyDescent="0.25">
      <c r="C532">
        <v>531</v>
      </c>
      <c r="D532" t="str">
        <f t="shared" ca="1" si="17"/>
        <v>1</v>
      </c>
      <c r="E532">
        <f ca="1">ROUND(NORMINV(RAND(),最终结果!$I$8,最终结果!$E$8),0)</f>
        <v>132</v>
      </c>
      <c r="F532">
        <f ca="1">ROUND(NORMINV(RAND(),最终结果!$I$12,最终结果!$E$12),0)</f>
        <v>102</v>
      </c>
      <c r="G532" t="str">
        <f t="shared" ca="1" si="18"/>
        <v>Away</v>
      </c>
      <c r="H532" t="str">
        <f ca="1">IF(E532+最终结果!$G$8&gt;simulation!F532,"W","L")</f>
        <v>W</v>
      </c>
      <c r="I532" t="str">
        <f ca="1">IF(F532+最终结果!$G$12&gt;simulation!E532,"W","L")</f>
        <v>L</v>
      </c>
      <c r="J532" t="str">
        <f ca="1">IF((E532+F532)&gt;最终结果!$H$8,"Over","Under")</f>
        <v>Under</v>
      </c>
    </row>
    <row r="533" spans="3:10" x14ac:dyDescent="0.25">
      <c r="C533">
        <v>532</v>
      </c>
      <c r="D533" t="str">
        <f t="shared" ca="1" si="17"/>
        <v>-1</v>
      </c>
      <c r="E533">
        <f ca="1">ROUND(NORMINV(RAND(),最终结果!$I$8,最终结果!$E$8),0)</f>
        <v>99</v>
      </c>
      <c r="F533">
        <f ca="1">ROUND(NORMINV(RAND(),最终结果!$I$12,最终结果!$E$12),0)</f>
        <v>127</v>
      </c>
      <c r="G533" t="str">
        <f t="shared" ca="1" si="18"/>
        <v>Home</v>
      </c>
      <c r="H533" t="str">
        <f ca="1">IF(E533+最终结果!$G$8&gt;simulation!F533,"W","L")</f>
        <v>L</v>
      </c>
      <c r="I533" t="str">
        <f ca="1">IF(F533+最终结果!$G$12&gt;simulation!E533,"W","L")</f>
        <v>W</v>
      </c>
      <c r="J533" t="str">
        <f ca="1">IF((E533+F533)&gt;最终结果!$H$8,"Over","Under")</f>
        <v>Under</v>
      </c>
    </row>
    <row r="534" spans="3:10" x14ac:dyDescent="0.25">
      <c r="C534">
        <v>533</v>
      </c>
      <c r="D534" t="str">
        <f t="shared" ca="1" si="17"/>
        <v>-1</v>
      </c>
      <c r="E534">
        <f ca="1">ROUND(NORMINV(RAND(),最终结果!$I$8,最终结果!$E$8),0)</f>
        <v>99</v>
      </c>
      <c r="F534">
        <f ca="1">ROUND(NORMINV(RAND(),最终结果!$I$12,最终结果!$E$12),0)</f>
        <v>103</v>
      </c>
      <c r="G534" t="str">
        <f t="shared" ca="1" si="18"/>
        <v>Home</v>
      </c>
      <c r="H534" t="str">
        <f ca="1">IF(E534+最终结果!$G$8&gt;simulation!F534,"W","L")</f>
        <v>L</v>
      </c>
      <c r="I534" t="str">
        <f ca="1">IF(F534+最终结果!$G$12&gt;simulation!E534,"W","L")</f>
        <v>W</v>
      </c>
      <c r="J534" t="str">
        <f ca="1">IF((E534+F534)&gt;最终结果!$H$8,"Over","Under")</f>
        <v>Under</v>
      </c>
    </row>
    <row r="535" spans="3:10" x14ac:dyDescent="0.25">
      <c r="C535">
        <v>534</v>
      </c>
      <c r="D535" t="str">
        <f t="shared" ca="1" si="17"/>
        <v>-1</v>
      </c>
      <c r="E535">
        <f ca="1">ROUND(NORMINV(RAND(),最终结果!$I$8,最终结果!$E$8),0)</f>
        <v>104</v>
      </c>
      <c r="F535">
        <f ca="1">ROUND(NORMINV(RAND(),最终结果!$I$12,最终结果!$E$12),0)</f>
        <v>121</v>
      </c>
      <c r="G535" t="str">
        <f t="shared" ca="1" si="18"/>
        <v>Home</v>
      </c>
      <c r="H535" t="str">
        <f ca="1">IF(E535+最终结果!$G$8&gt;simulation!F535,"W","L")</f>
        <v>L</v>
      </c>
      <c r="I535" t="str">
        <f ca="1">IF(F535+最终结果!$G$12&gt;simulation!E535,"W","L")</f>
        <v>W</v>
      </c>
      <c r="J535" t="str">
        <f ca="1">IF((E535+F535)&gt;最终结果!$H$8,"Over","Under")</f>
        <v>Under</v>
      </c>
    </row>
    <row r="536" spans="3:10" x14ac:dyDescent="0.25">
      <c r="C536">
        <v>535</v>
      </c>
      <c r="D536" t="str">
        <f t="shared" ca="1" si="17"/>
        <v>-1</v>
      </c>
      <c r="E536">
        <f ca="1">ROUND(NORMINV(RAND(),最终结果!$I$8,最终结果!$E$8),0)</f>
        <v>97</v>
      </c>
      <c r="F536">
        <f ca="1">ROUND(NORMINV(RAND(),最终结果!$I$12,最终结果!$E$12),0)</f>
        <v>127</v>
      </c>
      <c r="G536" t="str">
        <f t="shared" ca="1" si="18"/>
        <v>Home</v>
      </c>
      <c r="H536" t="str">
        <f ca="1">IF(E536+最终结果!$G$8&gt;simulation!F536,"W","L")</f>
        <v>L</v>
      </c>
      <c r="I536" t="str">
        <f ca="1">IF(F536+最终结果!$G$12&gt;simulation!E536,"W","L")</f>
        <v>W</v>
      </c>
      <c r="J536" t="str">
        <f ca="1">IF((E536+F536)&gt;最终结果!$H$8,"Over","Under")</f>
        <v>Under</v>
      </c>
    </row>
    <row r="537" spans="3:10" x14ac:dyDescent="0.25">
      <c r="C537">
        <v>536</v>
      </c>
      <c r="D537" t="str">
        <f t="shared" ca="1" si="17"/>
        <v>1</v>
      </c>
      <c r="E537">
        <f ca="1">ROUND(NORMINV(RAND(),最终结果!$I$8,最终结果!$E$8),0)</f>
        <v>124</v>
      </c>
      <c r="F537">
        <f ca="1">ROUND(NORMINV(RAND(),最终结果!$I$12,最终结果!$E$12),0)</f>
        <v>104</v>
      </c>
      <c r="G537" t="str">
        <f t="shared" ca="1" si="18"/>
        <v>Away</v>
      </c>
      <c r="H537" t="str">
        <f ca="1">IF(E537+最终结果!$G$8&gt;simulation!F537,"W","L")</f>
        <v>W</v>
      </c>
      <c r="I537" t="str">
        <f ca="1">IF(F537+最终结果!$G$12&gt;simulation!E537,"W","L")</f>
        <v>L</v>
      </c>
      <c r="J537" t="str">
        <f ca="1">IF((E537+F537)&gt;最终结果!$H$8,"Over","Under")</f>
        <v>Under</v>
      </c>
    </row>
    <row r="538" spans="3:10" x14ac:dyDescent="0.25">
      <c r="C538">
        <v>537</v>
      </c>
      <c r="D538" t="str">
        <f t="shared" ca="1" si="17"/>
        <v>-1</v>
      </c>
      <c r="E538">
        <f ca="1">ROUND(NORMINV(RAND(),最终结果!$I$8,最终结果!$E$8),0)</f>
        <v>107</v>
      </c>
      <c r="F538">
        <f ca="1">ROUND(NORMINV(RAND(),最终结果!$I$12,最终结果!$E$12),0)</f>
        <v>112</v>
      </c>
      <c r="G538" t="str">
        <f t="shared" ca="1" si="18"/>
        <v>Home</v>
      </c>
      <c r="H538" t="str">
        <f ca="1">IF(E538+最终结果!$G$8&gt;simulation!F538,"W","L")</f>
        <v>L</v>
      </c>
      <c r="I538" t="str">
        <f ca="1">IF(F538+最终结果!$G$12&gt;simulation!E538,"W","L")</f>
        <v>W</v>
      </c>
      <c r="J538" t="str">
        <f ca="1">IF((E538+F538)&gt;最终结果!$H$8,"Over","Under")</f>
        <v>Under</v>
      </c>
    </row>
    <row r="539" spans="3:10" x14ac:dyDescent="0.25">
      <c r="C539">
        <v>538</v>
      </c>
      <c r="D539" t="str">
        <f t="shared" ca="1" si="17"/>
        <v>-1</v>
      </c>
      <c r="E539">
        <f ca="1">ROUND(NORMINV(RAND(),最终结果!$I$8,最终结果!$E$8),0)</f>
        <v>96</v>
      </c>
      <c r="F539">
        <f ca="1">ROUND(NORMINV(RAND(),最终结果!$I$12,最终结果!$E$12),0)</f>
        <v>115</v>
      </c>
      <c r="G539" t="str">
        <f t="shared" ca="1" si="18"/>
        <v>Home</v>
      </c>
      <c r="H539" t="str">
        <f ca="1">IF(E539+最终结果!$G$8&gt;simulation!F539,"W","L")</f>
        <v>L</v>
      </c>
      <c r="I539" t="str">
        <f ca="1">IF(F539+最终结果!$G$12&gt;simulation!E539,"W","L")</f>
        <v>W</v>
      </c>
      <c r="J539" t="str">
        <f ca="1">IF((E539+F539)&gt;最终结果!$H$8,"Over","Under")</f>
        <v>Under</v>
      </c>
    </row>
    <row r="540" spans="3:10" x14ac:dyDescent="0.25">
      <c r="C540">
        <v>539</v>
      </c>
      <c r="D540" t="str">
        <f t="shared" ca="1" si="17"/>
        <v>-1</v>
      </c>
      <c r="E540">
        <f ca="1">ROUND(NORMINV(RAND(),最终结果!$I$8,最终结果!$E$8),0)</f>
        <v>105</v>
      </c>
      <c r="F540">
        <f ca="1">ROUND(NORMINV(RAND(),最终结果!$I$12,最终结果!$E$12),0)</f>
        <v>128</v>
      </c>
      <c r="G540" t="str">
        <f t="shared" ca="1" si="18"/>
        <v>Home</v>
      </c>
      <c r="H540" t="str">
        <f ca="1">IF(E540+最终结果!$G$8&gt;simulation!F540,"W","L")</f>
        <v>L</v>
      </c>
      <c r="I540" t="str">
        <f ca="1">IF(F540+最终结果!$G$12&gt;simulation!E540,"W","L")</f>
        <v>W</v>
      </c>
      <c r="J540" t="str">
        <f ca="1">IF((E540+F540)&gt;最终结果!$H$8,"Over","Under")</f>
        <v>Under</v>
      </c>
    </row>
    <row r="541" spans="3:10" x14ac:dyDescent="0.25">
      <c r="C541">
        <v>540</v>
      </c>
      <c r="D541" t="str">
        <f t="shared" ca="1" si="17"/>
        <v>-1</v>
      </c>
      <c r="E541">
        <f ca="1">ROUND(NORMINV(RAND(),最终结果!$I$8,最终结果!$E$8),0)</f>
        <v>120</v>
      </c>
      <c r="F541">
        <f ca="1">ROUND(NORMINV(RAND(),最终结果!$I$12,最终结果!$E$12),0)</f>
        <v>135</v>
      </c>
      <c r="G541" t="str">
        <f t="shared" ca="1" si="18"/>
        <v>Home</v>
      </c>
      <c r="H541" t="str">
        <f ca="1">IF(E541+最终结果!$G$8&gt;simulation!F541,"W","L")</f>
        <v>L</v>
      </c>
      <c r="I541" t="str">
        <f ca="1">IF(F541+最终结果!$G$12&gt;simulation!E541,"W","L")</f>
        <v>W</v>
      </c>
      <c r="J541" t="str">
        <f ca="1">IF((E541+F541)&gt;最终结果!$H$8,"Over","Under")</f>
        <v>Over</v>
      </c>
    </row>
    <row r="542" spans="3:10" x14ac:dyDescent="0.25">
      <c r="C542">
        <v>541</v>
      </c>
      <c r="D542" t="str">
        <f t="shared" ca="1" si="17"/>
        <v>-1</v>
      </c>
      <c r="E542">
        <f ca="1">ROUND(NORMINV(RAND(),最终结果!$I$8,最终结果!$E$8),0)</f>
        <v>109</v>
      </c>
      <c r="F542">
        <f ca="1">ROUND(NORMINV(RAND(),最终结果!$I$12,最终结果!$E$12),0)</f>
        <v>121</v>
      </c>
      <c r="G542" t="str">
        <f t="shared" ca="1" si="18"/>
        <v>Home</v>
      </c>
      <c r="H542" t="str">
        <f ca="1">IF(E542+最终结果!$G$8&gt;simulation!F542,"W","L")</f>
        <v>L</v>
      </c>
      <c r="I542" t="str">
        <f ca="1">IF(F542+最终结果!$G$12&gt;simulation!E542,"W","L")</f>
        <v>W</v>
      </c>
      <c r="J542" t="str">
        <f ca="1">IF((E542+F542)&gt;最终结果!$H$8,"Over","Under")</f>
        <v>Under</v>
      </c>
    </row>
    <row r="543" spans="3:10" x14ac:dyDescent="0.25">
      <c r="C543">
        <v>542</v>
      </c>
      <c r="D543" t="str">
        <f t="shared" ca="1" si="17"/>
        <v>1</v>
      </c>
      <c r="E543">
        <f ca="1">ROUND(NORMINV(RAND(),最终结果!$I$8,最终结果!$E$8),0)</f>
        <v>125</v>
      </c>
      <c r="F543">
        <f ca="1">ROUND(NORMINV(RAND(),最终结果!$I$12,最终结果!$E$12),0)</f>
        <v>116</v>
      </c>
      <c r="G543" t="str">
        <f t="shared" ca="1" si="18"/>
        <v>Away</v>
      </c>
      <c r="H543" t="str">
        <f ca="1">IF(E543+最终结果!$G$8&gt;simulation!F543,"W","L")</f>
        <v>W</v>
      </c>
      <c r="I543" t="str">
        <f ca="1">IF(F543+最终结果!$G$12&gt;simulation!E543,"W","L")</f>
        <v>L</v>
      </c>
      <c r="J543" t="str">
        <f ca="1">IF((E543+F543)&gt;最终结果!$H$8,"Over","Under")</f>
        <v>Over</v>
      </c>
    </row>
    <row r="544" spans="3:10" x14ac:dyDescent="0.25">
      <c r="C544">
        <v>543</v>
      </c>
      <c r="D544" t="str">
        <f t="shared" ca="1" si="17"/>
        <v>1</v>
      </c>
      <c r="E544">
        <f ca="1">ROUND(NORMINV(RAND(),最终结果!$I$8,最终结果!$E$8),0)</f>
        <v>124</v>
      </c>
      <c r="F544">
        <f ca="1">ROUND(NORMINV(RAND(),最终结果!$I$12,最终结果!$E$12),0)</f>
        <v>100</v>
      </c>
      <c r="G544" t="str">
        <f t="shared" ca="1" si="18"/>
        <v>Away</v>
      </c>
      <c r="H544" t="str">
        <f ca="1">IF(E544+最终结果!$G$8&gt;simulation!F544,"W","L")</f>
        <v>W</v>
      </c>
      <c r="I544" t="str">
        <f ca="1">IF(F544+最终结果!$G$12&gt;simulation!E544,"W","L")</f>
        <v>L</v>
      </c>
      <c r="J544" t="str">
        <f ca="1">IF((E544+F544)&gt;最终结果!$H$8,"Over","Under")</f>
        <v>Under</v>
      </c>
    </row>
    <row r="545" spans="3:10" x14ac:dyDescent="0.25">
      <c r="C545">
        <v>544</v>
      </c>
      <c r="D545" t="str">
        <f t="shared" ca="1" si="17"/>
        <v>-1</v>
      </c>
      <c r="E545">
        <f ca="1">ROUND(NORMINV(RAND(),最终结果!$I$8,最终结果!$E$8),0)</f>
        <v>104</v>
      </c>
      <c r="F545">
        <f ca="1">ROUND(NORMINV(RAND(),最终结果!$I$12,最终结果!$E$12),0)</f>
        <v>120</v>
      </c>
      <c r="G545" t="str">
        <f t="shared" ca="1" si="18"/>
        <v>Home</v>
      </c>
      <c r="H545" t="str">
        <f ca="1">IF(E545+最终结果!$G$8&gt;simulation!F545,"W","L")</f>
        <v>L</v>
      </c>
      <c r="I545" t="str">
        <f ca="1">IF(F545+最终结果!$G$12&gt;simulation!E545,"W","L")</f>
        <v>W</v>
      </c>
      <c r="J545" t="str">
        <f ca="1">IF((E545+F545)&gt;最终结果!$H$8,"Over","Under")</f>
        <v>Under</v>
      </c>
    </row>
    <row r="546" spans="3:10" x14ac:dyDescent="0.25">
      <c r="C546">
        <v>545</v>
      </c>
      <c r="D546" t="str">
        <f t="shared" ca="1" si="17"/>
        <v>1</v>
      </c>
      <c r="E546">
        <f ca="1">ROUND(NORMINV(RAND(),最终结果!$I$8,最终结果!$E$8),0)</f>
        <v>107</v>
      </c>
      <c r="F546">
        <f ca="1">ROUND(NORMINV(RAND(),最终结果!$I$12,最终结果!$E$12),0)</f>
        <v>102</v>
      </c>
      <c r="G546" t="str">
        <f t="shared" ca="1" si="18"/>
        <v>Away</v>
      </c>
      <c r="H546" t="str">
        <f ca="1">IF(E546+最终结果!$G$8&gt;simulation!F546,"W","L")</f>
        <v>W</v>
      </c>
      <c r="I546" t="str">
        <f ca="1">IF(F546+最终结果!$G$12&gt;simulation!E546,"W","L")</f>
        <v>L</v>
      </c>
      <c r="J546" t="str">
        <f ca="1">IF((E546+F546)&gt;最终结果!$H$8,"Over","Under")</f>
        <v>Under</v>
      </c>
    </row>
    <row r="547" spans="3:10" x14ac:dyDescent="0.25">
      <c r="C547">
        <v>546</v>
      </c>
      <c r="D547" t="str">
        <f t="shared" ca="1" si="17"/>
        <v>-1</v>
      </c>
      <c r="E547">
        <f ca="1">ROUND(NORMINV(RAND(),最终结果!$I$8,最终结果!$E$8),0)</f>
        <v>85</v>
      </c>
      <c r="F547">
        <f ca="1">ROUND(NORMINV(RAND(),最终结果!$I$12,最终结果!$E$12),0)</f>
        <v>106</v>
      </c>
      <c r="G547" t="str">
        <f t="shared" ca="1" si="18"/>
        <v>Home</v>
      </c>
      <c r="H547" t="str">
        <f ca="1">IF(E547+最终结果!$G$8&gt;simulation!F547,"W","L")</f>
        <v>L</v>
      </c>
      <c r="I547" t="str">
        <f ca="1">IF(F547+最终结果!$G$12&gt;simulation!E547,"W","L")</f>
        <v>W</v>
      </c>
      <c r="J547" t="str">
        <f ca="1">IF((E547+F547)&gt;最终结果!$H$8,"Over","Under")</f>
        <v>Under</v>
      </c>
    </row>
    <row r="548" spans="3:10" x14ac:dyDescent="0.25">
      <c r="C548">
        <v>547</v>
      </c>
      <c r="D548" t="str">
        <f t="shared" ca="1" si="17"/>
        <v>-1</v>
      </c>
      <c r="E548">
        <f ca="1">ROUND(NORMINV(RAND(),最终结果!$I$8,最终结果!$E$8),0)</f>
        <v>102</v>
      </c>
      <c r="F548">
        <f ca="1">ROUND(NORMINV(RAND(),最终结果!$I$12,最终结果!$E$12),0)</f>
        <v>113</v>
      </c>
      <c r="G548" t="str">
        <f t="shared" ca="1" si="18"/>
        <v>Home</v>
      </c>
      <c r="H548" t="str">
        <f ca="1">IF(E548+最终结果!$G$8&gt;simulation!F548,"W","L")</f>
        <v>L</v>
      </c>
      <c r="I548" t="str">
        <f ca="1">IF(F548+最终结果!$G$12&gt;simulation!E548,"W","L")</f>
        <v>W</v>
      </c>
      <c r="J548" t="str">
        <f ca="1">IF((E548+F548)&gt;最终结果!$H$8,"Over","Under")</f>
        <v>Under</v>
      </c>
    </row>
    <row r="549" spans="3:10" x14ac:dyDescent="0.25">
      <c r="C549">
        <v>548</v>
      </c>
      <c r="D549" t="str">
        <f t="shared" ca="1" si="17"/>
        <v>-1</v>
      </c>
      <c r="E549">
        <f ca="1">ROUND(NORMINV(RAND(),最终结果!$I$8,最终结果!$E$8),0)</f>
        <v>121</v>
      </c>
      <c r="F549">
        <f ca="1">ROUND(NORMINV(RAND(),最终结果!$I$12,最终结果!$E$12),0)</f>
        <v>124</v>
      </c>
      <c r="G549" t="str">
        <f t="shared" ca="1" si="18"/>
        <v>Home</v>
      </c>
      <c r="H549" t="str">
        <f ca="1">IF(E549+最终结果!$G$8&gt;simulation!F549,"W","L")</f>
        <v>L</v>
      </c>
      <c r="I549" t="str">
        <f ca="1">IF(F549+最终结果!$G$12&gt;simulation!E549,"W","L")</f>
        <v>L</v>
      </c>
      <c r="J549" t="str">
        <f ca="1">IF((E549+F549)&gt;最终结果!$H$8,"Over","Under")</f>
        <v>Over</v>
      </c>
    </row>
    <row r="550" spans="3:10" x14ac:dyDescent="0.25">
      <c r="C550">
        <v>549</v>
      </c>
      <c r="D550" t="str">
        <f t="shared" ca="1" si="17"/>
        <v>-1</v>
      </c>
      <c r="E550">
        <f ca="1">ROUND(NORMINV(RAND(),最终结果!$I$8,最终结果!$E$8),0)</f>
        <v>111</v>
      </c>
      <c r="F550">
        <f ca="1">ROUND(NORMINV(RAND(),最终结果!$I$12,最终结果!$E$12),0)</f>
        <v>114</v>
      </c>
      <c r="G550" t="str">
        <f t="shared" ca="1" si="18"/>
        <v>Home</v>
      </c>
      <c r="H550" t="str">
        <f ca="1">IF(E550+最终结果!$G$8&gt;simulation!F550,"W","L")</f>
        <v>L</v>
      </c>
      <c r="I550" t="str">
        <f ca="1">IF(F550+最终结果!$G$12&gt;simulation!E550,"W","L")</f>
        <v>L</v>
      </c>
      <c r="J550" t="str">
        <f ca="1">IF((E550+F550)&gt;最终结果!$H$8,"Over","Under")</f>
        <v>Under</v>
      </c>
    </row>
    <row r="551" spans="3:10" x14ac:dyDescent="0.25">
      <c r="C551">
        <v>550</v>
      </c>
      <c r="D551" t="str">
        <f t="shared" ca="1" si="17"/>
        <v>1</v>
      </c>
      <c r="E551">
        <f ca="1">ROUND(NORMINV(RAND(),最终结果!$I$8,最终结果!$E$8),0)</f>
        <v>121</v>
      </c>
      <c r="F551">
        <f ca="1">ROUND(NORMINV(RAND(),最终结果!$I$12,最终结果!$E$12),0)</f>
        <v>105</v>
      </c>
      <c r="G551" t="str">
        <f t="shared" ca="1" si="18"/>
        <v>Away</v>
      </c>
      <c r="H551" t="str">
        <f ca="1">IF(E551+最终结果!$G$8&gt;simulation!F551,"W","L")</f>
        <v>W</v>
      </c>
      <c r="I551" t="str">
        <f ca="1">IF(F551+最终结果!$G$12&gt;simulation!E551,"W","L")</f>
        <v>L</v>
      </c>
      <c r="J551" t="str">
        <f ca="1">IF((E551+F551)&gt;最终结果!$H$8,"Over","Under")</f>
        <v>Under</v>
      </c>
    </row>
    <row r="552" spans="3:10" x14ac:dyDescent="0.25">
      <c r="C552">
        <v>551</v>
      </c>
      <c r="D552" t="str">
        <f t="shared" ca="1" si="17"/>
        <v>1</v>
      </c>
      <c r="E552">
        <f ca="1">ROUND(NORMINV(RAND(),最终结果!$I$8,最终结果!$E$8),0)</f>
        <v>117</v>
      </c>
      <c r="F552">
        <f ca="1">ROUND(NORMINV(RAND(),最终结果!$I$12,最终结果!$E$12),0)</f>
        <v>102</v>
      </c>
      <c r="G552" t="str">
        <f t="shared" ca="1" si="18"/>
        <v>Away</v>
      </c>
      <c r="H552" t="str">
        <f ca="1">IF(E552+最终结果!$G$8&gt;simulation!F552,"W","L")</f>
        <v>W</v>
      </c>
      <c r="I552" t="str">
        <f ca="1">IF(F552+最终结果!$G$12&gt;simulation!E552,"W","L")</f>
        <v>L</v>
      </c>
      <c r="J552" t="str">
        <f ca="1">IF((E552+F552)&gt;最终结果!$H$8,"Over","Under")</f>
        <v>Under</v>
      </c>
    </row>
    <row r="553" spans="3:10" x14ac:dyDescent="0.25">
      <c r="C553">
        <v>552</v>
      </c>
      <c r="D553">
        <f t="shared" ca="1" si="17"/>
        <v>0</v>
      </c>
      <c r="E553">
        <f ca="1">ROUND(NORMINV(RAND(),最终结果!$I$8,最终结果!$E$8),0)</f>
        <v>120</v>
      </c>
      <c r="F553">
        <f ca="1">ROUND(NORMINV(RAND(),最终结果!$I$12,最终结果!$E$12),0)</f>
        <v>120</v>
      </c>
      <c r="G553" t="str">
        <f t="shared" ca="1" si="18"/>
        <v>OT</v>
      </c>
      <c r="H553" t="str">
        <f ca="1">IF(E553+最终结果!$G$8&gt;simulation!F553,"W","L")</f>
        <v>W</v>
      </c>
      <c r="I553" t="str">
        <f ca="1">IF(F553+最终结果!$G$12&gt;simulation!E553,"W","L")</f>
        <v>L</v>
      </c>
      <c r="J553" t="str">
        <f ca="1">IF((E553+F553)&gt;最终结果!$H$8,"Over","Under")</f>
        <v>Over</v>
      </c>
    </row>
    <row r="554" spans="3:10" x14ac:dyDescent="0.25">
      <c r="C554">
        <v>553</v>
      </c>
      <c r="D554" t="str">
        <f t="shared" ca="1" si="17"/>
        <v>-1</v>
      </c>
      <c r="E554">
        <f ca="1">ROUND(NORMINV(RAND(),最终结果!$I$8,最终结果!$E$8),0)</f>
        <v>104</v>
      </c>
      <c r="F554">
        <f ca="1">ROUND(NORMINV(RAND(),最终结果!$I$12,最终结果!$E$12),0)</f>
        <v>123</v>
      </c>
      <c r="G554" t="str">
        <f t="shared" ca="1" si="18"/>
        <v>Home</v>
      </c>
      <c r="H554" t="str">
        <f ca="1">IF(E554+最终结果!$G$8&gt;simulation!F554,"W","L")</f>
        <v>L</v>
      </c>
      <c r="I554" t="str">
        <f ca="1">IF(F554+最终结果!$G$12&gt;simulation!E554,"W","L")</f>
        <v>W</v>
      </c>
      <c r="J554" t="str">
        <f ca="1">IF((E554+F554)&gt;最终结果!$H$8,"Over","Under")</f>
        <v>Under</v>
      </c>
    </row>
    <row r="555" spans="3:10" x14ac:dyDescent="0.25">
      <c r="C555">
        <v>554</v>
      </c>
      <c r="D555" t="str">
        <f t="shared" ca="1" si="17"/>
        <v>-1</v>
      </c>
      <c r="E555">
        <f ca="1">ROUND(NORMINV(RAND(),最终结果!$I$8,最终结果!$E$8),0)</f>
        <v>102</v>
      </c>
      <c r="F555">
        <f ca="1">ROUND(NORMINV(RAND(),最终结果!$I$12,最终结果!$E$12),0)</f>
        <v>119</v>
      </c>
      <c r="G555" t="str">
        <f t="shared" ca="1" si="18"/>
        <v>Home</v>
      </c>
      <c r="H555" t="str">
        <f ca="1">IF(E555+最终结果!$G$8&gt;simulation!F555,"W","L")</f>
        <v>L</v>
      </c>
      <c r="I555" t="str">
        <f ca="1">IF(F555+最终结果!$G$12&gt;simulation!E555,"W","L")</f>
        <v>W</v>
      </c>
      <c r="J555" t="str">
        <f ca="1">IF((E555+F555)&gt;最终结果!$H$8,"Over","Under")</f>
        <v>Under</v>
      </c>
    </row>
    <row r="556" spans="3:10" x14ac:dyDescent="0.25">
      <c r="C556">
        <v>555</v>
      </c>
      <c r="D556" t="str">
        <f t="shared" ca="1" si="17"/>
        <v>-1</v>
      </c>
      <c r="E556">
        <f ca="1">ROUND(NORMINV(RAND(),最终结果!$I$8,最终结果!$E$8),0)</f>
        <v>110</v>
      </c>
      <c r="F556">
        <f ca="1">ROUND(NORMINV(RAND(),最终结果!$I$12,最终结果!$E$12),0)</f>
        <v>126</v>
      </c>
      <c r="G556" t="str">
        <f t="shared" ca="1" si="18"/>
        <v>Home</v>
      </c>
      <c r="H556" t="str">
        <f ca="1">IF(E556+最终结果!$G$8&gt;simulation!F556,"W","L")</f>
        <v>L</v>
      </c>
      <c r="I556" t="str">
        <f ca="1">IF(F556+最终结果!$G$12&gt;simulation!E556,"W","L")</f>
        <v>W</v>
      </c>
      <c r="J556" t="str">
        <f ca="1">IF((E556+F556)&gt;最终结果!$H$8,"Over","Under")</f>
        <v>Under</v>
      </c>
    </row>
    <row r="557" spans="3:10" x14ac:dyDescent="0.25">
      <c r="C557">
        <v>556</v>
      </c>
      <c r="D557" t="str">
        <f t="shared" ca="1" si="17"/>
        <v>-1</v>
      </c>
      <c r="E557">
        <f ca="1">ROUND(NORMINV(RAND(),最终结果!$I$8,最终结果!$E$8),0)</f>
        <v>120</v>
      </c>
      <c r="F557">
        <f ca="1">ROUND(NORMINV(RAND(),最终结果!$I$12,最终结果!$E$12),0)</f>
        <v>121</v>
      </c>
      <c r="G557" t="str">
        <f t="shared" ca="1" si="18"/>
        <v>Home</v>
      </c>
      <c r="H557" t="str">
        <f ca="1">IF(E557+最终结果!$G$8&gt;simulation!F557,"W","L")</f>
        <v>W</v>
      </c>
      <c r="I557" t="str">
        <f ca="1">IF(F557+最终结果!$G$12&gt;simulation!E557,"W","L")</f>
        <v>L</v>
      </c>
      <c r="J557" t="str">
        <f ca="1">IF((E557+F557)&gt;最终结果!$H$8,"Over","Under")</f>
        <v>Over</v>
      </c>
    </row>
    <row r="558" spans="3:10" x14ac:dyDescent="0.25">
      <c r="C558">
        <v>557</v>
      </c>
      <c r="D558" t="str">
        <f t="shared" ca="1" si="17"/>
        <v>1</v>
      </c>
      <c r="E558">
        <f ca="1">ROUND(NORMINV(RAND(),最终结果!$I$8,最终结果!$E$8),0)</f>
        <v>120</v>
      </c>
      <c r="F558">
        <f ca="1">ROUND(NORMINV(RAND(),最终结果!$I$12,最终结果!$E$12),0)</f>
        <v>119</v>
      </c>
      <c r="G558" t="str">
        <f t="shared" ca="1" si="18"/>
        <v>Away</v>
      </c>
      <c r="H558" t="str">
        <f ca="1">IF(E558+最终结果!$G$8&gt;simulation!F558,"W","L")</f>
        <v>W</v>
      </c>
      <c r="I558" t="str">
        <f ca="1">IF(F558+最终结果!$G$12&gt;simulation!E558,"W","L")</f>
        <v>L</v>
      </c>
      <c r="J558" t="str">
        <f ca="1">IF((E558+F558)&gt;最终结果!$H$8,"Over","Under")</f>
        <v>Over</v>
      </c>
    </row>
    <row r="559" spans="3:10" x14ac:dyDescent="0.25">
      <c r="C559">
        <v>558</v>
      </c>
      <c r="D559" t="str">
        <f t="shared" ca="1" si="17"/>
        <v>1</v>
      </c>
      <c r="E559">
        <f ca="1">ROUND(NORMINV(RAND(),最终结果!$I$8,最终结果!$E$8),0)</f>
        <v>128</v>
      </c>
      <c r="F559">
        <f ca="1">ROUND(NORMINV(RAND(),最终结果!$I$12,最终结果!$E$12),0)</f>
        <v>103</v>
      </c>
      <c r="G559" t="str">
        <f t="shared" ca="1" si="18"/>
        <v>Away</v>
      </c>
      <c r="H559" t="str">
        <f ca="1">IF(E559+最终结果!$G$8&gt;simulation!F559,"W","L")</f>
        <v>W</v>
      </c>
      <c r="I559" t="str">
        <f ca="1">IF(F559+最终结果!$G$12&gt;simulation!E559,"W","L")</f>
        <v>L</v>
      </c>
      <c r="J559" t="str">
        <f ca="1">IF((E559+F559)&gt;最终结果!$H$8,"Over","Under")</f>
        <v>Under</v>
      </c>
    </row>
    <row r="560" spans="3:10" x14ac:dyDescent="0.25">
      <c r="C560">
        <v>559</v>
      </c>
      <c r="D560" t="str">
        <f t="shared" ca="1" si="17"/>
        <v>-1</v>
      </c>
      <c r="E560">
        <f ca="1">ROUND(NORMINV(RAND(),最终结果!$I$8,最终结果!$E$8),0)</f>
        <v>94</v>
      </c>
      <c r="F560">
        <f ca="1">ROUND(NORMINV(RAND(),最终结果!$I$12,最终结果!$E$12),0)</f>
        <v>100</v>
      </c>
      <c r="G560" t="str">
        <f t="shared" ca="1" si="18"/>
        <v>Home</v>
      </c>
      <c r="H560" t="str">
        <f ca="1">IF(E560+最终结果!$G$8&gt;simulation!F560,"W","L")</f>
        <v>L</v>
      </c>
      <c r="I560" t="str">
        <f ca="1">IF(F560+最终结果!$G$12&gt;simulation!E560,"W","L")</f>
        <v>W</v>
      </c>
      <c r="J560" t="str">
        <f ca="1">IF((E560+F560)&gt;最终结果!$H$8,"Over","Under")</f>
        <v>Under</v>
      </c>
    </row>
    <row r="561" spans="3:10" x14ac:dyDescent="0.25">
      <c r="C561">
        <v>560</v>
      </c>
      <c r="D561" t="str">
        <f t="shared" ca="1" si="17"/>
        <v>-1</v>
      </c>
      <c r="E561">
        <f ca="1">ROUND(NORMINV(RAND(),最终结果!$I$8,最终结果!$E$8),0)</f>
        <v>110</v>
      </c>
      <c r="F561">
        <f ca="1">ROUND(NORMINV(RAND(),最终结果!$I$12,最终结果!$E$12),0)</f>
        <v>134</v>
      </c>
      <c r="G561" t="str">
        <f t="shared" ca="1" si="18"/>
        <v>Home</v>
      </c>
      <c r="H561" t="str">
        <f ca="1">IF(E561+最终结果!$G$8&gt;simulation!F561,"W","L")</f>
        <v>L</v>
      </c>
      <c r="I561" t="str">
        <f ca="1">IF(F561+最终结果!$G$12&gt;simulation!E561,"W","L")</f>
        <v>W</v>
      </c>
      <c r="J561" t="str">
        <f ca="1">IF((E561+F561)&gt;最终结果!$H$8,"Over","Under")</f>
        <v>Over</v>
      </c>
    </row>
    <row r="562" spans="3:10" x14ac:dyDescent="0.25">
      <c r="C562">
        <v>561</v>
      </c>
      <c r="D562" t="str">
        <f t="shared" ca="1" si="17"/>
        <v>-1</v>
      </c>
      <c r="E562">
        <f ca="1">ROUND(NORMINV(RAND(),最终结果!$I$8,最终结果!$E$8),0)</f>
        <v>116</v>
      </c>
      <c r="F562">
        <f ca="1">ROUND(NORMINV(RAND(),最终结果!$I$12,最终结果!$E$12),0)</f>
        <v>125</v>
      </c>
      <c r="G562" t="str">
        <f t="shared" ca="1" si="18"/>
        <v>Home</v>
      </c>
      <c r="H562" t="str">
        <f ca="1">IF(E562+最终结果!$G$8&gt;simulation!F562,"W","L")</f>
        <v>L</v>
      </c>
      <c r="I562" t="str">
        <f ca="1">IF(F562+最终结果!$G$12&gt;simulation!E562,"W","L")</f>
        <v>W</v>
      </c>
      <c r="J562" t="str">
        <f ca="1">IF((E562+F562)&gt;最终结果!$H$8,"Over","Under")</f>
        <v>Over</v>
      </c>
    </row>
    <row r="563" spans="3:10" x14ac:dyDescent="0.25">
      <c r="C563">
        <v>562</v>
      </c>
      <c r="D563" t="str">
        <f t="shared" ca="1" si="17"/>
        <v>1</v>
      </c>
      <c r="E563">
        <f ca="1">ROUND(NORMINV(RAND(),最终结果!$I$8,最终结果!$E$8),0)</f>
        <v>122</v>
      </c>
      <c r="F563">
        <f ca="1">ROUND(NORMINV(RAND(),最终结果!$I$12,最终结果!$E$12),0)</f>
        <v>120</v>
      </c>
      <c r="G563" t="str">
        <f t="shared" ca="1" si="18"/>
        <v>Away</v>
      </c>
      <c r="H563" t="str">
        <f ca="1">IF(E563+最终结果!$G$8&gt;simulation!F563,"W","L")</f>
        <v>W</v>
      </c>
      <c r="I563" t="str">
        <f ca="1">IF(F563+最终结果!$G$12&gt;simulation!E563,"W","L")</f>
        <v>L</v>
      </c>
      <c r="J563" t="str">
        <f ca="1">IF((E563+F563)&gt;最终结果!$H$8,"Over","Under")</f>
        <v>Over</v>
      </c>
    </row>
    <row r="564" spans="3:10" x14ac:dyDescent="0.25">
      <c r="C564">
        <v>563</v>
      </c>
      <c r="D564" t="str">
        <f t="shared" ca="1" si="17"/>
        <v>-1</v>
      </c>
      <c r="E564">
        <f ca="1">ROUND(NORMINV(RAND(),最终结果!$I$8,最终结果!$E$8),0)</f>
        <v>99</v>
      </c>
      <c r="F564">
        <f ca="1">ROUND(NORMINV(RAND(),最终结果!$I$12,最终结果!$E$12),0)</f>
        <v>129</v>
      </c>
      <c r="G564" t="str">
        <f t="shared" ca="1" si="18"/>
        <v>Home</v>
      </c>
      <c r="H564" t="str">
        <f ca="1">IF(E564+最终结果!$G$8&gt;simulation!F564,"W","L")</f>
        <v>L</v>
      </c>
      <c r="I564" t="str">
        <f ca="1">IF(F564+最终结果!$G$12&gt;simulation!E564,"W","L")</f>
        <v>W</v>
      </c>
      <c r="J564" t="str">
        <f ca="1">IF((E564+F564)&gt;最终结果!$H$8,"Over","Under")</f>
        <v>Under</v>
      </c>
    </row>
    <row r="565" spans="3:10" x14ac:dyDescent="0.25">
      <c r="C565">
        <v>564</v>
      </c>
      <c r="D565" t="str">
        <f t="shared" ca="1" si="17"/>
        <v>-1</v>
      </c>
      <c r="E565">
        <f ca="1">ROUND(NORMINV(RAND(),最终结果!$I$8,最终结果!$E$8),0)</f>
        <v>108</v>
      </c>
      <c r="F565">
        <f ca="1">ROUND(NORMINV(RAND(),最终结果!$I$12,最终结果!$E$12),0)</f>
        <v>116</v>
      </c>
      <c r="G565" t="str">
        <f t="shared" ca="1" si="18"/>
        <v>Home</v>
      </c>
      <c r="H565" t="str">
        <f ca="1">IF(E565+最终结果!$G$8&gt;simulation!F565,"W","L")</f>
        <v>L</v>
      </c>
      <c r="I565" t="str">
        <f ca="1">IF(F565+最终结果!$G$12&gt;simulation!E565,"W","L")</f>
        <v>W</v>
      </c>
      <c r="J565" t="str">
        <f ca="1">IF((E565+F565)&gt;最终结果!$H$8,"Over","Under")</f>
        <v>Under</v>
      </c>
    </row>
    <row r="566" spans="3:10" x14ac:dyDescent="0.25">
      <c r="C566">
        <v>565</v>
      </c>
      <c r="D566" t="str">
        <f t="shared" ca="1" si="17"/>
        <v>-1</v>
      </c>
      <c r="E566">
        <f ca="1">ROUND(NORMINV(RAND(),最终结果!$I$8,最终结果!$E$8),0)</f>
        <v>102</v>
      </c>
      <c r="F566">
        <f ca="1">ROUND(NORMINV(RAND(),最终结果!$I$12,最终结果!$E$12),0)</f>
        <v>151</v>
      </c>
      <c r="G566" t="str">
        <f t="shared" ca="1" si="18"/>
        <v>Home</v>
      </c>
      <c r="H566" t="str">
        <f ca="1">IF(E566+最终结果!$G$8&gt;simulation!F566,"W","L")</f>
        <v>L</v>
      </c>
      <c r="I566" t="str">
        <f ca="1">IF(F566+最终结果!$G$12&gt;simulation!E566,"W","L")</f>
        <v>W</v>
      </c>
      <c r="J566" t="str">
        <f ca="1">IF((E566+F566)&gt;最终结果!$H$8,"Over","Under")</f>
        <v>Over</v>
      </c>
    </row>
    <row r="567" spans="3:10" x14ac:dyDescent="0.25">
      <c r="C567">
        <v>566</v>
      </c>
      <c r="D567" t="str">
        <f t="shared" ca="1" si="17"/>
        <v>-1</v>
      </c>
      <c r="E567">
        <f ca="1">ROUND(NORMINV(RAND(),最终结果!$I$8,最终结果!$E$8),0)</f>
        <v>102</v>
      </c>
      <c r="F567">
        <f ca="1">ROUND(NORMINV(RAND(),最终结果!$I$12,最终结果!$E$12),0)</f>
        <v>105</v>
      </c>
      <c r="G567" t="str">
        <f t="shared" ca="1" si="18"/>
        <v>Home</v>
      </c>
      <c r="H567" t="str">
        <f ca="1">IF(E567+最终结果!$G$8&gt;simulation!F567,"W","L")</f>
        <v>L</v>
      </c>
      <c r="I567" t="str">
        <f ca="1">IF(F567+最终结果!$G$12&gt;simulation!E567,"W","L")</f>
        <v>L</v>
      </c>
      <c r="J567" t="str">
        <f ca="1">IF((E567+F567)&gt;最终结果!$H$8,"Over","Under")</f>
        <v>Under</v>
      </c>
    </row>
    <row r="568" spans="3:10" x14ac:dyDescent="0.25">
      <c r="C568">
        <v>567</v>
      </c>
      <c r="D568" t="str">
        <f t="shared" ca="1" si="17"/>
        <v>1</v>
      </c>
      <c r="E568">
        <f ca="1">ROUND(NORMINV(RAND(),最终结果!$I$8,最终结果!$E$8),0)</f>
        <v>101</v>
      </c>
      <c r="F568">
        <f ca="1">ROUND(NORMINV(RAND(),最终结果!$I$12,最终结果!$E$12),0)</f>
        <v>95</v>
      </c>
      <c r="G568" t="str">
        <f t="shared" ca="1" si="18"/>
        <v>Away</v>
      </c>
      <c r="H568" t="str">
        <f ca="1">IF(E568+最终结果!$G$8&gt;simulation!F568,"W","L")</f>
        <v>W</v>
      </c>
      <c r="I568" t="str">
        <f ca="1">IF(F568+最终结果!$G$12&gt;simulation!E568,"W","L")</f>
        <v>L</v>
      </c>
      <c r="J568" t="str">
        <f ca="1">IF((E568+F568)&gt;最终结果!$H$8,"Over","Under")</f>
        <v>Under</v>
      </c>
    </row>
    <row r="569" spans="3:10" x14ac:dyDescent="0.25">
      <c r="C569">
        <v>568</v>
      </c>
      <c r="D569" t="str">
        <f t="shared" ca="1" si="17"/>
        <v>-1</v>
      </c>
      <c r="E569">
        <f ca="1">ROUND(NORMINV(RAND(),最终结果!$I$8,最终结果!$E$8),0)</f>
        <v>88</v>
      </c>
      <c r="F569">
        <f ca="1">ROUND(NORMINV(RAND(),最终结果!$I$12,最终结果!$E$12),0)</f>
        <v>102</v>
      </c>
      <c r="G569" t="str">
        <f t="shared" ca="1" si="18"/>
        <v>Home</v>
      </c>
      <c r="H569" t="str">
        <f ca="1">IF(E569+最终结果!$G$8&gt;simulation!F569,"W","L")</f>
        <v>L</v>
      </c>
      <c r="I569" t="str">
        <f ca="1">IF(F569+最终结果!$G$12&gt;simulation!E569,"W","L")</f>
        <v>W</v>
      </c>
      <c r="J569" t="str">
        <f ca="1">IF((E569+F569)&gt;最终结果!$H$8,"Over","Under")</f>
        <v>Under</v>
      </c>
    </row>
    <row r="570" spans="3:10" x14ac:dyDescent="0.25">
      <c r="C570">
        <v>569</v>
      </c>
      <c r="D570" t="str">
        <f t="shared" ca="1" si="17"/>
        <v>-1</v>
      </c>
      <c r="E570">
        <f ca="1">ROUND(NORMINV(RAND(),最终结果!$I$8,最终结果!$E$8),0)</f>
        <v>96</v>
      </c>
      <c r="F570">
        <f ca="1">ROUND(NORMINV(RAND(),最终结果!$I$12,最终结果!$E$12),0)</f>
        <v>102</v>
      </c>
      <c r="G570" t="str">
        <f t="shared" ca="1" si="18"/>
        <v>Home</v>
      </c>
      <c r="H570" t="str">
        <f ca="1">IF(E570+最终结果!$G$8&gt;simulation!F570,"W","L")</f>
        <v>L</v>
      </c>
      <c r="I570" t="str">
        <f ca="1">IF(F570+最终结果!$G$12&gt;simulation!E570,"W","L")</f>
        <v>W</v>
      </c>
      <c r="J570" t="str">
        <f ca="1">IF((E570+F570)&gt;最终结果!$H$8,"Over","Under")</f>
        <v>Under</v>
      </c>
    </row>
    <row r="571" spans="3:10" x14ac:dyDescent="0.25">
      <c r="C571">
        <v>570</v>
      </c>
      <c r="D571" t="str">
        <f t="shared" ca="1" si="17"/>
        <v>1</v>
      </c>
      <c r="E571">
        <f ca="1">ROUND(NORMINV(RAND(),最终结果!$I$8,最终结果!$E$8),0)</f>
        <v>129</v>
      </c>
      <c r="F571">
        <f ca="1">ROUND(NORMINV(RAND(),最终结果!$I$12,最终结果!$E$12),0)</f>
        <v>105</v>
      </c>
      <c r="G571" t="str">
        <f t="shared" ca="1" si="18"/>
        <v>Away</v>
      </c>
      <c r="H571" t="str">
        <f ca="1">IF(E571+最终结果!$G$8&gt;simulation!F571,"W","L")</f>
        <v>W</v>
      </c>
      <c r="I571" t="str">
        <f ca="1">IF(F571+最终结果!$G$12&gt;simulation!E571,"W","L")</f>
        <v>L</v>
      </c>
      <c r="J571" t="str">
        <f ca="1">IF((E571+F571)&gt;最终结果!$H$8,"Over","Under")</f>
        <v>Under</v>
      </c>
    </row>
    <row r="572" spans="3:10" x14ac:dyDescent="0.25">
      <c r="C572">
        <v>571</v>
      </c>
      <c r="D572" t="str">
        <f t="shared" ca="1" si="17"/>
        <v>-1</v>
      </c>
      <c r="E572">
        <f ca="1">ROUND(NORMINV(RAND(),最终结果!$I$8,最终结果!$E$8),0)</f>
        <v>98</v>
      </c>
      <c r="F572">
        <f ca="1">ROUND(NORMINV(RAND(),最终结果!$I$12,最终结果!$E$12),0)</f>
        <v>125</v>
      </c>
      <c r="G572" t="str">
        <f t="shared" ca="1" si="18"/>
        <v>Home</v>
      </c>
      <c r="H572" t="str">
        <f ca="1">IF(E572+最终结果!$G$8&gt;simulation!F572,"W","L")</f>
        <v>L</v>
      </c>
      <c r="I572" t="str">
        <f ca="1">IF(F572+最终结果!$G$12&gt;simulation!E572,"W","L")</f>
        <v>W</v>
      </c>
      <c r="J572" t="str">
        <f ca="1">IF((E572+F572)&gt;最终结果!$H$8,"Over","Under")</f>
        <v>Under</v>
      </c>
    </row>
    <row r="573" spans="3:10" x14ac:dyDescent="0.25">
      <c r="C573">
        <v>572</v>
      </c>
      <c r="D573" t="str">
        <f t="shared" ca="1" si="17"/>
        <v>1</v>
      </c>
      <c r="E573">
        <f ca="1">ROUND(NORMINV(RAND(),最终结果!$I$8,最终结果!$E$8),0)</f>
        <v>114</v>
      </c>
      <c r="F573">
        <f ca="1">ROUND(NORMINV(RAND(),最终结果!$I$12,最终结果!$E$12),0)</f>
        <v>110</v>
      </c>
      <c r="G573" t="str">
        <f t="shared" ca="1" si="18"/>
        <v>Away</v>
      </c>
      <c r="H573" t="str">
        <f ca="1">IF(E573+最终结果!$G$8&gt;simulation!F573,"W","L")</f>
        <v>W</v>
      </c>
      <c r="I573" t="str">
        <f ca="1">IF(F573+最终结果!$G$12&gt;simulation!E573,"W","L")</f>
        <v>L</v>
      </c>
      <c r="J573" t="str">
        <f ca="1">IF((E573+F573)&gt;最终结果!$H$8,"Over","Under")</f>
        <v>Under</v>
      </c>
    </row>
    <row r="574" spans="3:10" x14ac:dyDescent="0.25">
      <c r="C574">
        <v>573</v>
      </c>
      <c r="D574" t="str">
        <f t="shared" ca="1" si="17"/>
        <v>-1</v>
      </c>
      <c r="E574">
        <f ca="1">ROUND(NORMINV(RAND(),最终结果!$I$8,最终结果!$E$8),0)</f>
        <v>102</v>
      </c>
      <c r="F574">
        <f ca="1">ROUND(NORMINV(RAND(),最终结果!$I$12,最终结果!$E$12),0)</f>
        <v>128</v>
      </c>
      <c r="G574" t="str">
        <f t="shared" ca="1" si="18"/>
        <v>Home</v>
      </c>
      <c r="H574" t="str">
        <f ca="1">IF(E574+最终结果!$G$8&gt;simulation!F574,"W","L")</f>
        <v>L</v>
      </c>
      <c r="I574" t="str">
        <f ca="1">IF(F574+最终结果!$G$12&gt;simulation!E574,"W","L")</f>
        <v>W</v>
      </c>
      <c r="J574" t="str">
        <f ca="1">IF((E574+F574)&gt;最终结果!$H$8,"Over","Under")</f>
        <v>Under</v>
      </c>
    </row>
    <row r="575" spans="3:10" x14ac:dyDescent="0.25">
      <c r="C575">
        <v>574</v>
      </c>
      <c r="D575" t="str">
        <f t="shared" ca="1" si="17"/>
        <v>1</v>
      </c>
      <c r="E575">
        <f ca="1">ROUND(NORMINV(RAND(),最终结果!$I$8,最终结果!$E$8),0)</f>
        <v>118</v>
      </c>
      <c r="F575">
        <f ca="1">ROUND(NORMINV(RAND(),最终结果!$I$12,最终结果!$E$12),0)</f>
        <v>114</v>
      </c>
      <c r="G575" t="str">
        <f t="shared" ca="1" si="18"/>
        <v>Away</v>
      </c>
      <c r="H575" t="str">
        <f ca="1">IF(E575+最终结果!$G$8&gt;simulation!F575,"W","L")</f>
        <v>W</v>
      </c>
      <c r="I575" t="str">
        <f ca="1">IF(F575+最终结果!$G$12&gt;simulation!E575,"W","L")</f>
        <v>L</v>
      </c>
      <c r="J575" t="str">
        <f ca="1">IF((E575+F575)&gt;最终结果!$H$8,"Over","Under")</f>
        <v>Under</v>
      </c>
    </row>
    <row r="576" spans="3:10" x14ac:dyDescent="0.25">
      <c r="C576">
        <v>575</v>
      </c>
      <c r="D576" t="str">
        <f t="shared" ca="1" si="17"/>
        <v>1</v>
      </c>
      <c r="E576">
        <f ca="1">ROUND(NORMINV(RAND(),最终结果!$I$8,最终结果!$E$8),0)</f>
        <v>129</v>
      </c>
      <c r="F576">
        <f ca="1">ROUND(NORMINV(RAND(),最终结果!$I$12,最终结果!$E$12),0)</f>
        <v>121</v>
      </c>
      <c r="G576" t="str">
        <f t="shared" ca="1" si="18"/>
        <v>Away</v>
      </c>
      <c r="H576" t="str">
        <f ca="1">IF(E576+最终结果!$G$8&gt;simulation!F576,"W","L")</f>
        <v>W</v>
      </c>
      <c r="I576" t="str">
        <f ca="1">IF(F576+最终结果!$G$12&gt;simulation!E576,"W","L")</f>
        <v>L</v>
      </c>
      <c r="J576" t="str">
        <f ca="1">IF((E576+F576)&gt;最终结果!$H$8,"Over","Under")</f>
        <v>Over</v>
      </c>
    </row>
    <row r="577" spans="3:10" x14ac:dyDescent="0.25">
      <c r="C577">
        <v>576</v>
      </c>
      <c r="D577" t="str">
        <f t="shared" ca="1" si="17"/>
        <v>1</v>
      </c>
      <c r="E577">
        <f ca="1">ROUND(NORMINV(RAND(),最终结果!$I$8,最终结果!$E$8),0)</f>
        <v>126</v>
      </c>
      <c r="F577">
        <f ca="1">ROUND(NORMINV(RAND(),最终结果!$I$12,最终结果!$E$12),0)</f>
        <v>118</v>
      </c>
      <c r="G577" t="str">
        <f t="shared" ca="1" si="18"/>
        <v>Away</v>
      </c>
      <c r="H577" t="str">
        <f ca="1">IF(E577+最终结果!$G$8&gt;simulation!F577,"W","L")</f>
        <v>W</v>
      </c>
      <c r="I577" t="str">
        <f ca="1">IF(F577+最终结果!$G$12&gt;simulation!E577,"W","L")</f>
        <v>L</v>
      </c>
      <c r="J577" t="str">
        <f ca="1">IF((E577+F577)&gt;最终结果!$H$8,"Over","Under")</f>
        <v>Over</v>
      </c>
    </row>
    <row r="578" spans="3:10" x14ac:dyDescent="0.25">
      <c r="C578">
        <v>577</v>
      </c>
      <c r="D578" t="str">
        <f t="shared" ca="1" si="17"/>
        <v>-1</v>
      </c>
      <c r="E578">
        <f ca="1">ROUND(NORMINV(RAND(),最终结果!$I$8,最终结果!$E$8),0)</f>
        <v>112</v>
      </c>
      <c r="F578">
        <f ca="1">ROUND(NORMINV(RAND(),最终结果!$I$12,最终结果!$E$12),0)</f>
        <v>123</v>
      </c>
      <c r="G578" t="str">
        <f t="shared" ca="1" si="18"/>
        <v>Home</v>
      </c>
      <c r="H578" t="str">
        <f ca="1">IF(E578+最终结果!$G$8&gt;simulation!F578,"W","L")</f>
        <v>L</v>
      </c>
      <c r="I578" t="str">
        <f ca="1">IF(F578+最终结果!$G$12&gt;simulation!E578,"W","L")</f>
        <v>W</v>
      </c>
      <c r="J578" t="str">
        <f ca="1">IF((E578+F578)&gt;最终结果!$H$8,"Over","Under")</f>
        <v>Under</v>
      </c>
    </row>
    <row r="579" spans="3:10" x14ac:dyDescent="0.25">
      <c r="C579">
        <v>578</v>
      </c>
      <c r="D579" t="str">
        <f t="shared" ref="D579:D642" ca="1" si="19">IF(E579=F579,0,IF(E579&gt;F579,"1","-1"))</f>
        <v>-1</v>
      </c>
      <c r="E579">
        <f ca="1">ROUND(NORMINV(RAND(),最终结果!$I$8,最终结果!$E$8),0)</f>
        <v>111</v>
      </c>
      <c r="F579">
        <f ca="1">ROUND(NORMINV(RAND(),最终结果!$I$12,最终结果!$E$12),0)</f>
        <v>125</v>
      </c>
      <c r="G579" t="str">
        <f t="shared" ca="1" si="18"/>
        <v>Home</v>
      </c>
      <c r="H579" t="str">
        <f ca="1">IF(E579+最终结果!$G$8&gt;simulation!F579,"W","L")</f>
        <v>L</v>
      </c>
      <c r="I579" t="str">
        <f ca="1">IF(F579+最终结果!$G$12&gt;simulation!E579,"W","L")</f>
        <v>W</v>
      </c>
      <c r="J579" t="str">
        <f ca="1">IF((E579+F579)&gt;最终结果!$H$8,"Over","Under")</f>
        <v>Under</v>
      </c>
    </row>
    <row r="580" spans="3:10" x14ac:dyDescent="0.25">
      <c r="C580">
        <v>579</v>
      </c>
      <c r="D580" t="str">
        <f t="shared" ca="1" si="19"/>
        <v>1</v>
      </c>
      <c r="E580">
        <f ca="1">ROUND(NORMINV(RAND(),最终结果!$I$8,最终结果!$E$8),0)</f>
        <v>143</v>
      </c>
      <c r="F580">
        <f ca="1">ROUND(NORMINV(RAND(),最终结果!$I$12,最终结果!$E$12),0)</f>
        <v>107</v>
      </c>
      <c r="G580" t="str">
        <f t="shared" ca="1" si="18"/>
        <v>Away</v>
      </c>
      <c r="H580" t="str">
        <f ca="1">IF(E580+最终结果!$G$8&gt;simulation!F580,"W","L")</f>
        <v>W</v>
      </c>
      <c r="I580" t="str">
        <f ca="1">IF(F580+最终结果!$G$12&gt;simulation!E580,"W","L")</f>
        <v>L</v>
      </c>
      <c r="J580" t="str">
        <f ca="1">IF((E580+F580)&gt;最终结果!$H$8,"Over","Under")</f>
        <v>Over</v>
      </c>
    </row>
    <row r="581" spans="3:10" x14ac:dyDescent="0.25">
      <c r="C581">
        <v>580</v>
      </c>
      <c r="D581" t="str">
        <f t="shared" ca="1" si="19"/>
        <v>-1</v>
      </c>
      <c r="E581">
        <f ca="1">ROUND(NORMINV(RAND(),最终结果!$I$8,最终结果!$E$8),0)</f>
        <v>110</v>
      </c>
      <c r="F581">
        <f ca="1">ROUND(NORMINV(RAND(),最终结果!$I$12,最终结果!$E$12),0)</f>
        <v>120</v>
      </c>
      <c r="G581" t="str">
        <f t="shared" ca="1" si="18"/>
        <v>Home</v>
      </c>
      <c r="H581" t="str">
        <f ca="1">IF(E581+最终结果!$G$8&gt;simulation!F581,"W","L")</f>
        <v>L</v>
      </c>
      <c r="I581" t="str">
        <f ca="1">IF(F581+最终结果!$G$12&gt;simulation!E581,"W","L")</f>
        <v>W</v>
      </c>
      <c r="J581" t="str">
        <f ca="1">IF((E581+F581)&gt;最终结果!$H$8,"Over","Under")</f>
        <v>Under</v>
      </c>
    </row>
    <row r="582" spans="3:10" x14ac:dyDescent="0.25">
      <c r="C582">
        <v>581</v>
      </c>
      <c r="D582" t="str">
        <f t="shared" ca="1" si="19"/>
        <v>1</v>
      </c>
      <c r="E582">
        <f ca="1">ROUND(NORMINV(RAND(),最终结果!$I$8,最终结果!$E$8),0)</f>
        <v>121</v>
      </c>
      <c r="F582">
        <f ca="1">ROUND(NORMINV(RAND(),最终结果!$I$12,最终结果!$E$12),0)</f>
        <v>97</v>
      </c>
      <c r="G582" t="str">
        <f t="shared" ca="1" si="18"/>
        <v>Away</v>
      </c>
      <c r="H582" t="str">
        <f ca="1">IF(E582+最终结果!$G$8&gt;simulation!F582,"W","L")</f>
        <v>W</v>
      </c>
      <c r="I582" t="str">
        <f ca="1">IF(F582+最终结果!$G$12&gt;simulation!E582,"W","L")</f>
        <v>L</v>
      </c>
      <c r="J582" t="str">
        <f ca="1">IF((E582+F582)&gt;最终结果!$H$8,"Over","Under")</f>
        <v>Under</v>
      </c>
    </row>
    <row r="583" spans="3:10" x14ac:dyDescent="0.25">
      <c r="C583">
        <v>582</v>
      </c>
      <c r="D583" t="str">
        <f t="shared" ca="1" si="19"/>
        <v>-1</v>
      </c>
      <c r="E583">
        <f ca="1">ROUND(NORMINV(RAND(),最终结果!$I$8,最终结果!$E$8),0)</f>
        <v>95</v>
      </c>
      <c r="F583">
        <f ca="1">ROUND(NORMINV(RAND(),最终结果!$I$12,最终结果!$E$12),0)</f>
        <v>114</v>
      </c>
      <c r="G583" t="str">
        <f t="shared" ca="1" si="18"/>
        <v>Home</v>
      </c>
      <c r="H583" t="str">
        <f ca="1">IF(E583+最终结果!$G$8&gt;simulation!F583,"W","L")</f>
        <v>L</v>
      </c>
      <c r="I583" t="str">
        <f ca="1">IF(F583+最终结果!$G$12&gt;simulation!E583,"W","L")</f>
        <v>W</v>
      </c>
      <c r="J583" t="str">
        <f ca="1">IF((E583+F583)&gt;最终结果!$H$8,"Over","Under")</f>
        <v>Under</v>
      </c>
    </row>
    <row r="584" spans="3:10" x14ac:dyDescent="0.25">
      <c r="C584">
        <v>583</v>
      </c>
      <c r="D584" t="str">
        <f t="shared" ca="1" si="19"/>
        <v>1</v>
      </c>
      <c r="E584">
        <f ca="1">ROUND(NORMINV(RAND(),最终结果!$I$8,最终结果!$E$8),0)</f>
        <v>118</v>
      </c>
      <c r="F584">
        <f ca="1">ROUND(NORMINV(RAND(),最终结果!$I$12,最终结果!$E$12),0)</f>
        <v>117</v>
      </c>
      <c r="G584" t="str">
        <f t="shared" ca="1" si="18"/>
        <v>Away</v>
      </c>
      <c r="H584" t="str">
        <f ca="1">IF(E584+最终结果!$G$8&gt;simulation!F584,"W","L")</f>
        <v>W</v>
      </c>
      <c r="I584" t="str">
        <f ca="1">IF(F584+最终结果!$G$12&gt;simulation!E584,"W","L")</f>
        <v>L</v>
      </c>
      <c r="J584" t="str">
        <f ca="1">IF((E584+F584)&gt;最终结果!$H$8,"Over","Under")</f>
        <v>Under</v>
      </c>
    </row>
    <row r="585" spans="3:10" x14ac:dyDescent="0.25">
      <c r="C585">
        <v>584</v>
      </c>
      <c r="D585" t="str">
        <f t="shared" ca="1" si="19"/>
        <v>1</v>
      </c>
      <c r="E585">
        <f ca="1">ROUND(NORMINV(RAND(),最终结果!$I$8,最终结果!$E$8),0)</f>
        <v>141</v>
      </c>
      <c r="F585">
        <f ca="1">ROUND(NORMINV(RAND(),最终结果!$I$12,最终结果!$E$12),0)</f>
        <v>118</v>
      </c>
      <c r="G585" t="str">
        <f t="shared" ca="1" si="18"/>
        <v>Away</v>
      </c>
      <c r="H585" t="str">
        <f ca="1">IF(E585+最终结果!$G$8&gt;simulation!F585,"W","L")</f>
        <v>W</v>
      </c>
      <c r="I585" t="str">
        <f ca="1">IF(F585+最终结果!$G$12&gt;simulation!E585,"W","L")</f>
        <v>L</v>
      </c>
      <c r="J585" t="str">
        <f ca="1">IF((E585+F585)&gt;最终结果!$H$8,"Over","Under")</f>
        <v>Over</v>
      </c>
    </row>
    <row r="586" spans="3:10" x14ac:dyDescent="0.25">
      <c r="C586">
        <v>585</v>
      </c>
      <c r="D586" t="str">
        <f t="shared" ca="1" si="19"/>
        <v>1</v>
      </c>
      <c r="E586">
        <f ca="1">ROUND(NORMINV(RAND(),最终结果!$I$8,最终结果!$E$8),0)</f>
        <v>114</v>
      </c>
      <c r="F586">
        <f ca="1">ROUND(NORMINV(RAND(),最终结果!$I$12,最终结果!$E$12),0)</f>
        <v>111</v>
      </c>
      <c r="G586" t="str">
        <f t="shared" ca="1" si="18"/>
        <v>Away</v>
      </c>
      <c r="H586" t="str">
        <f ca="1">IF(E586+最终结果!$G$8&gt;simulation!F586,"W","L")</f>
        <v>W</v>
      </c>
      <c r="I586" t="str">
        <f ca="1">IF(F586+最终结果!$G$12&gt;simulation!E586,"W","L")</f>
        <v>L</v>
      </c>
      <c r="J586" t="str">
        <f ca="1">IF((E586+F586)&gt;最终结果!$H$8,"Over","Under")</f>
        <v>Under</v>
      </c>
    </row>
    <row r="587" spans="3:10" x14ac:dyDescent="0.25">
      <c r="C587">
        <v>586</v>
      </c>
      <c r="D587" t="str">
        <f t="shared" ca="1" si="19"/>
        <v>-1</v>
      </c>
      <c r="E587">
        <f ca="1">ROUND(NORMINV(RAND(),最终结果!$I$8,最终结果!$E$8),0)</f>
        <v>90</v>
      </c>
      <c r="F587">
        <f ca="1">ROUND(NORMINV(RAND(),最终结果!$I$12,最终结果!$E$12),0)</f>
        <v>129</v>
      </c>
      <c r="G587" t="str">
        <f t="shared" ca="1" si="18"/>
        <v>Home</v>
      </c>
      <c r="H587" t="str">
        <f ca="1">IF(E587+最终结果!$G$8&gt;simulation!F587,"W","L")</f>
        <v>L</v>
      </c>
      <c r="I587" t="str">
        <f ca="1">IF(F587+最终结果!$G$12&gt;simulation!E587,"W","L")</f>
        <v>W</v>
      </c>
      <c r="J587" t="str">
        <f ca="1">IF((E587+F587)&gt;最终结果!$H$8,"Over","Under")</f>
        <v>Under</v>
      </c>
    </row>
    <row r="588" spans="3:10" x14ac:dyDescent="0.25">
      <c r="C588">
        <v>587</v>
      </c>
      <c r="D588" t="str">
        <f t="shared" ca="1" si="19"/>
        <v>1</v>
      </c>
      <c r="E588">
        <f ca="1">ROUND(NORMINV(RAND(),最终结果!$I$8,最终结果!$E$8),0)</f>
        <v>116</v>
      </c>
      <c r="F588">
        <f ca="1">ROUND(NORMINV(RAND(),最终结果!$I$12,最终结果!$E$12),0)</f>
        <v>115</v>
      </c>
      <c r="G588" t="str">
        <f t="shared" ca="1" si="18"/>
        <v>Away</v>
      </c>
      <c r="H588" t="str">
        <f ca="1">IF(E588+最终结果!$G$8&gt;simulation!F588,"W","L")</f>
        <v>W</v>
      </c>
      <c r="I588" t="str">
        <f ca="1">IF(F588+最终结果!$G$12&gt;simulation!E588,"W","L")</f>
        <v>L</v>
      </c>
      <c r="J588" t="str">
        <f ca="1">IF((E588+F588)&gt;最终结果!$H$8,"Over","Under")</f>
        <v>Under</v>
      </c>
    </row>
    <row r="589" spans="3:10" x14ac:dyDescent="0.25">
      <c r="C589">
        <v>588</v>
      </c>
      <c r="D589" t="str">
        <f t="shared" ca="1" si="19"/>
        <v>-1</v>
      </c>
      <c r="E589">
        <f ca="1">ROUND(NORMINV(RAND(),最终结果!$I$8,最终结果!$E$8),0)</f>
        <v>105</v>
      </c>
      <c r="F589">
        <f ca="1">ROUND(NORMINV(RAND(),最终结果!$I$12,最终结果!$E$12),0)</f>
        <v>121</v>
      </c>
      <c r="G589" t="str">
        <f t="shared" ca="1" si="18"/>
        <v>Home</v>
      </c>
      <c r="H589" t="str">
        <f ca="1">IF(E589+最终结果!$G$8&gt;simulation!F589,"W","L")</f>
        <v>L</v>
      </c>
      <c r="I589" t="str">
        <f ca="1">IF(F589+最终结果!$G$12&gt;simulation!E589,"W","L")</f>
        <v>W</v>
      </c>
      <c r="J589" t="str">
        <f ca="1">IF((E589+F589)&gt;最终结果!$H$8,"Over","Under")</f>
        <v>Under</v>
      </c>
    </row>
    <row r="590" spans="3:10" x14ac:dyDescent="0.25">
      <c r="C590">
        <v>589</v>
      </c>
      <c r="D590" t="str">
        <f t="shared" ca="1" si="19"/>
        <v>-1</v>
      </c>
      <c r="E590">
        <f ca="1">ROUND(NORMINV(RAND(),最终结果!$I$8,最终结果!$E$8),0)</f>
        <v>100</v>
      </c>
      <c r="F590">
        <f ca="1">ROUND(NORMINV(RAND(),最终结果!$I$12,最终结果!$E$12),0)</f>
        <v>123</v>
      </c>
      <c r="G590" t="str">
        <f t="shared" ref="G590:G653" ca="1" si="20">IF(E590=F590,"OT",IF(E590&gt;F590,"Away","Home"))</f>
        <v>Home</v>
      </c>
      <c r="H590" t="str">
        <f ca="1">IF(E590+最终结果!$G$8&gt;simulation!F590,"W","L")</f>
        <v>L</v>
      </c>
      <c r="I590" t="str">
        <f ca="1">IF(F590+最终结果!$G$12&gt;simulation!E590,"W","L")</f>
        <v>W</v>
      </c>
      <c r="J590" t="str">
        <f ca="1">IF((E590+F590)&gt;最终结果!$H$8,"Over","Under")</f>
        <v>Under</v>
      </c>
    </row>
    <row r="591" spans="3:10" x14ac:dyDescent="0.25">
      <c r="C591">
        <v>590</v>
      </c>
      <c r="D591" t="str">
        <f t="shared" ca="1" si="19"/>
        <v>-1</v>
      </c>
      <c r="E591">
        <f ca="1">ROUND(NORMINV(RAND(),最终结果!$I$8,最终结果!$E$8),0)</f>
        <v>112</v>
      </c>
      <c r="F591">
        <f ca="1">ROUND(NORMINV(RAND(),最终结果!$I$12,最终结果!$E$12),0)</f>
        <v>119</v>
      </c>
      <c r="G591" t="str">
        <f t="shared" ca="1" si="20"/>
        <v>Home</v>
      </c>
      <c r="H591" t="str">
        <f ca="1">IF(E591+最终结果!$G$8&gt;simulation!F591,"W","L")</f>
        <v>L</v>
      </c>
      <c r="I591" t="str">
        <f ca="1">IF(F591+最终结果!$G$12&gt;simulation!E591,"W","L")</f>
        <v>W</v>
      </c>
      <c r="J591" t="str">
        <f ca="1">IF((E591+F591)&gt;最终结果!$H$8,"Over","Under")</f>
        <v>Under</v>
      </c>
    </row>
    <row r="592" spans="3:10" x14ac:dyDescent="0.25">
      <c r="C592">
        <v>591</v>
      </c>
      <c r="D592" t="str">
        <f t="shared" ca="1" si="19"/>
        <v>1</v>
      </c>
      <c r="E592">
        <f ca="1">ROUND(NORMINV(RAND(),最终结果!$I$8,最终结果!$E$8),0)</f>
        <v>127</v>
      </c>
      <c r="F592">
        <f ca="1">ROUND(NORMINV(RAND(),最终结果!$I$12,最终结果!$E$12),0)</f>
        <v>119</v>
      </c>
      <c r="G592" t="str">
        <f t="shared" ca="1" si="20"/>
        <v>Away</v>
      </c>
      <c r="H592" t="str">
        <f ca="1">IF(E592+最终结果!$G$8&gt;simulation!F592,"W","L")</f>
        <v>W</v>
      </c>
      <c r="I592" t="str">
        <f ca="1">IF(F592+最终结果!$G$12&gt;simulation!E592,"W","L")</f>
        <v>L</v>
      </c>
      <c r="J592" t="str">
        <f ca="1">IF((E592+F592)&gt;最终结果!$H$8,"Over","Under")</f>
        <v>Over</v>
      </c>
    </row>
    <row r="593" spans="3:10" x14ac:dyDescent="0.25">
      <c r="C593">
        <v>592</v>
      </c>
      <c r="D593" t="str">
        <f t="shared" ca="1" si="19"/>
        <v>1</v>
      </c>
      <c r="E593">
        <f ca="1">ROUND(NORMINV(RAND(),最终结果!$I$8,最终结果!$E$8),0)</f>
        <v>121</v>
      </c>
      <c r="F593">
        <f ca="1">ROUND(NORMINV(RAND(),最终结果!$I$12,最终结果!$E$12),0)</f>
        <v>120</v>
      </c>
      <c r="G593" t="str">
        <f t="shared" ca="1" si="20"/>
        <v>Away</v>
      </c>
      <c r="H593" t="str">
        <f ca="1">IF(E593+最终结果!$G$8&gt;simulation!F593,"W","L")</f>
        <v>W</v>
      </c>
      <c r="I593" t="str">
        <f ca="1">IF(F593+最终结果!$G$12&gt;simulation!E593,"W","L")</f>
        <v>L</v>
      </c>
      <c r="J593" t="str">
        <f ca="1">IF((E593+F593)&gt;最终结果!$H$8,"Over","Under")</f>
        <v>Over</v>
      </c>
    </row>
    <row r="594" spans="3:10" x14ac:dyDescent="0.25">
      <c r="C594">
        <v>593</v>
      </c>
      <c r="D594" t="str">
        <f t="shared" ca="1" si="19"/>
        <v>-1</v>
      </c>
      <c r="E594">
        <f ca="1">ROUND(NORMINV(RAND(),最终结果!$I$8,最终结果!$E$8),0)</f>
        <v>116</v>
      </c>
      <c r="F594">
        <f ca="1">ROUND(NORMINV(RAND(),最终结果!$I$12,最终结果!$E$12),0)</f>
        <v>123</v>
      </c>
      <c r="G594" t="str">
        <f t="shared" ca="1" si="20"/>
        <v>Home</v>
      </c>
      <c r="H594" t="str">
        <f ca="1">IF(E594+最终结果!$G$8&gt;simulation!F594,"W","L")</f>
        <v>L</v>
      </c>
      <c r="I594" t="str">
        <f ca="1">IF(F594+最终结果!$G$12&gt;simulation!E594,"W","L")</f>
        <v>W</v>
      </c>
      <c r="J594" t="str">
        <f ca="1">IF((E594+F594)&gt;最终结果!$H$8,"Over","Under")</f>
        <v>Over</v>
      </c>
    </row>
    <row r="595" spans="3:10" x14ac:dyDescent="0.25">
      <c r="C595">
        <v>594</v>
      </c>
      <c r="D595" t="str">
        <f t="shared" ca="1" si="19"/>
        <v>1</v>
      </c>
      <c r="E595">
        <f ca="1">ROUND(NORMINV(RAND(),最终结果!$I$8,最终结果!$E$8),0)</f>
        <v>104</v>
      </c>
      <c r="F595">
        <f ca="1">ROUND(NORMINV(RAND(),最终结果!$I$12,最终结果!$E$12),0)</f>
        <v>99</v>
      </c>
      <c r="G595" t="str">
        <f t="shared" ca="1" si="20"/>
        <v>Away</v>
      </c>
      <c r="H595" t="str">
        <f ca="1">IF(E595+最终结果!$G$8&gt;simulation!F595,"W","L")</f>
        <v>W</v>
      </c>
      <c r="I595" t="str">
        <f ca="1">IF(F595+最终结果!$G$12&gt;simulation!E595,"W","L")</f>
        <v>L</v>
      </c>
      <c r="J595" t="str">
        <f ca="1">IF((E595+F595)&gt;最终结果!$H$8,"Over","Under")</f>
        <v>Under</v>
      </c>
    </row>
    <row r="596" spans="3:10" x14ac:dyDescent="0.25">
      <c r="C596">
        <v>595</v>
      </c>
      <c r="D596" t="str">
        <f t="shared" ca="1" si="19"/>
        <v>-1</v>
      </c>
      <c r="E596">
        <f ca="1">ROUND(NORMINV(RAND(),最终结果!$I$8,最终结果!$E$8),0)</f>
        <v>97</v>
      </c>
      <c r="F596">
        <f ca="1">ROUND(NORMINV(RAND(),最终结果!$I$12,最终结果!$E$12),0)</f>
        <v>114</v>
      </c>
      <c r="G596" t="str">
        <f t="shared" ca="1" si="20"/>
        <v>Home</v>
      </c>
      <c r="H596" t="str">
        <f ca="1">IF(E596+最终结果!$G$8&gt;simulation!F596,"W","L")</f>
        <v>L</v>
      </c>
      <c r="I596" t="str">
        <f ca="1">IF(F596+最终结果!$G$12&gt;simulation!E596,"W","L")</f>
        <v>W</v>
      </c>
      <c r="J596" t="str">
        <f ca="1">IF((E596+F596)&gt;最终结果!$H$8,"Over","Under")</f>
        <v>Under</v>
      </c>
    </row>
    <row r="597" spans="3:10" x14ac:dyDescent="0.25">
      <c r="C597">
        <v>596</v>
      </c>
      <c r="D597" t="str">
        <f t="shared" ca="1" si="19"/>
        <v>1</v>
      </c>
      <c r="E597">
        <f ca="1">ROUND(NORMINV(RAND(),最终结果!$I$8,最终结果!$E$8),0)</f>
        <v>122</v>
      </c>
      <c r="F597">
        <f ca="1">ROUND(NORMINV(RAND(),最终结果!$I$12,最终结果!$E$12),0)</f>
        <v>120</v>
      </c>
      <c r="G597" t="str">
        <f t="shared" ca="1" si="20"/>
        <v>Away</v>
      </c>
      <c r="H597" t="str">
        <f ca="1">IF(E597+最终结果!$G$8&gt;simulation!F597,"W","L")</f>
        <v>W</v>
      </c>
      <c r="I597" t="str">
        <f ca="1">IF(F597+最终结果!$G$12&gt;simulation!E597,"W","L")</f>
        <v>L</v>
      </c>
      <c r="J597" t="str">
        <f ca="1">IF((E597+F597)&gt;最终结果!$H$8,"Over","Under")</f>
        <v>Over</v>
      </c>
    </row>
    <row r="598" spans="3:10" x14ac:dyDescent="0.25">
      <c r="C598">
        <v>597</v>
      </c>
      <c r="D598" t="str">
        <f t="shared" ca="1" si="19"/>
        <v>1</v>
      </c>
      <c r="E598">
        <f ca="1">ROUND(NORMINV(RAND(),最终结果!$I$8,最终结果!$E$8),0)</f>
        <v>122</v>
      </c>
      <c r="F598">
        <f ca="1">ROUND(NORMINV(RAND(),最终结果!$I$12,最终结果!$E$12),0)</f>
        <v>117</v>
      </c>
      <c r="G598" t="str">
        <f t="shared" ca="1" si="20"/>
        <v>Away</v>
      </c>
      <c r="H598" t="str">
        <f ca="1">IF(E598+最终结果!$G$8&gt;simulation!F598,"W","L")</f>
        <v>W</v>
      </c>
      <c r="I598" t="str">
        <f ca="1">IF(F598+最终结果!$G$12&gt;simulation!E598,"W","L")</f>
        <v>L</v>
      </c>
      <c r="J598" t="str">
        <f ca="1">IF((E598+F598)&gt;最终结果!$H$8,"Over","Under")</f>
        <v>Over</v>
      </c>
    </row>
    <row r="599" spans="3:10" x14ac:dyDescent="0.25">
      <c r="C599">
        <v>598</v>
      </c>
      <c r="D599" t="str">
        <f t="shared" ca="1" si="19"/>
        <v>-1</v>
      </c>
      <c r="E599">
        <f ca="1">ROUND(NORMINV(RAND(),最终结果!$I$8,最终结果!$E$8),0)</f>
        <v>101</v>
      </c>
      <c r="F599">
        <f ca="1">ROUND(NORMINV(RAND(),最终结果!$I$12,最终结果!$E$12),0)</f>
        <v>114</v>
      </c>
      <c r="G599" t="str">
        <f t="shared" ca="1" si="20"/>
        <v>Home</v>
      </c>
      <c r="H599" t="str">
        <f ca="1">IF(E599+最终结果!$G$8&gt;simulation!F599,"W","L")</f>
        <v>L</v>
      </c>
      <c r="I599" t="str">
        <f ca="1">IF(F599+最终结果!$G$12&gt;simulation!E599,"W","L")</f>
        <v>W</v>
      </c>
      <c r="J599" t="str">
        <f ca="1">IF((E599+F599)&gt;最终结果!$H$8,"Over","Under")</f>
        <v>Under</v>
      </c>
    </row>
    <row r="600" spans="3:10" x14ac:dyDescent="0.25">
      <c r="C600">
        <v>599</v>
      </c>
      <c r="D600" t="str">
        <f t="shared" ca="1" si="19"/>
        <v>1</v>
      </c>
      <c r="E600">
        <f ca="1">ROUND(NORMINV(RAND(),最终结果!$I$8,最终结果!$E$8),0)</f>
        <v>114</v>
      </c>
      <c r="F600">
        <f ca="1">ROUND(NORMINV(RAND(),最终结果!$I$12,最终结果!$E$12),0)</f>
        <v>112</v>
      </c>
      <c r="G600" t="str">
        <f t="shared" ca="1" si="20"/>
        <v>Away</v>
      </c>
      <c r="H600" t="str">
        <f ca="1">IF(E600+最终结果!$G$8&gt;simulation!F600,"W","L")</f>
        <v>W</v>
      </c>
      <c r="I600" t="str">
        <f ca="1">IF(F600+最终结果!$G$12&gt;simulation!E600,"W","L")</f>
        <v>L</v>
      </c>
      <c r="J600" t="str">
        <f ca="1">IF((E600+F600)&gt;最终结果!$H$8,"Over","Under")</f>
        <v>Under</v>
      </c>
    </row>
    <row r="601" spans="3:10" x14ac:dyDescent="0.25">
      <c r="C601">
        <v>600</v>
      </c>
      <c r="D601" t="str">
        <f t="shared" ca="1" si="19"/>
        <v>1</v>
      </c>
      <c r="E601">
        <f ca="1">ROUND(NORMINV(RAND(),最终结果!$I$8,最终结果!$E$8),0)</f>
        <v>99</v>
      </c>
      <c r="F601">
        <f ca="1">ROUND(NORMINV(RAND(),最终结果!$I$12,最终结果!$E$12),0)</f>
        <v>98</v>
      </c>
      <c r="G601" t="str">
        <f t="shared" ca="1" si="20"/>
        <v>Away</v>
      </c>
      <c r="H601" t="str">
        <f ca="1">IF(E601+最终结果!$G$8&gt;simulation!F601,"W","L")</f>
        <v>W</v>
      </c>
      <c r="I601" t="str">
        <f ca="1">IF(F601+最终结果!$G$12&gt;simulation!E601,"W","L")</f>
        <v>L</v>
      </c>
      <c r="J601" t="str">
        <f ca="1">IF((E601+F601)&gt;最终结果!$H$8,"Over","Under")</f>
        <v>Under</v>
      </c>
    </row>
    <row r="602" spans="3:10" x14ac:dyDescent="0.25">
      <c r="C602">
        <v>601</v>
      </c>
      <c r="D602" t="str">
        <f t="shared" ca="1" si="19"/>
        <v>1</v>
      </c>
      <c r="E602">
        <f ca="1">ROUND(NORMINV(RAND(),最终结果!$I$8,最终结果!$E$8),0)</f>
        <v>112</v>
      </c>
      <c r="F602">
        <f ca="1">ROUND(NORMINV(RAND(),最终结果!$I$12,最终结果!$E$12),0)</f>
        <v>105</v>
      </c>
      <c r="G602" t="str">
        <f t="shared" ca="1" si="20"/>
        <v>Away</v>
      </c>
      <c r="H602" t="str">
        <f ca="1">IF(E602+最终结果!$G$8&gt;simulation!F602,"W","L")</f>
        <v>W</v>
      </c>
      <c r="I602" t="str">
        <f ca="1">IF(F602+最终结果!$G$12&gt;simulation!E602,"W","L")</f>
        <v>L</v>
      </c>
      <c r="J602" t="str">
        <f ca="1">IF((E602+F602)&gt;最终结果!$H$8,"Over","Under")</f>
        <v>Under</v>
      </c>
    </row>
    <row r="603" spans="3:10" x14ac:dyDescent="0.25">
      <c r="C603">
        <v>602</v>
      </c>
      <c r="D603" t="str">
        <f t="shared" ca="1" si="19"/>
        <v>1</v>
      </c>
      <c r="E603">
        <f ca="1">ROUND(NORMINV(RAND(),最终结果!$I$8,最终结果!$E$8),0)</f>
        <v>127</v>
      </c>
      <c r="F603">
        <f ca="1">ROUND(NORMINV(RAND(),最终结果!$I$12,最终结果!$E$12),0)</f>
        <v>119</v>
      </c>
      <c r="G603" t="str">
        <f t="shared" ca="1" si="20"/>
        <v>Away</v>
      </c>
      <c r="H603" t="str">
        <f ca="1">IF(E603+最终结果!$G$8&gt;simulation!F603,"W","L")</f>
        <v>W</v>
      </c>
      <c r="I603" t="str">
        <f ca="1">IF(F603+最终结果!$G$12&gt;simulation!E603,"W","L")</f>
        <v>L</v>
      </c>
      <c r="J603" t="str">
        <f ca="1">IF((E603+F603)&gt;最终结果!$H$8,"Over","Under")</f>
        <v>Over</v>
      </c>
    </row>
    <row r="604" spans="3:10" x14ac:dyDescent="0.25">
      <c r="C604">
        <v>603</v>
      </c>
      <c r="D604" t="str">
        <f t="shared" ca="1" si="19"/>
        <v>-1</v>
      </c>
      <c r="E604">
        <f ca="1">ROUND(NORMINV(RAND(),最终结果!$I$8,最终结果!$E$8),0)</f>
        <v>105</v>
      </c>
      <c r="F604">
        <f ca="1">ROUND(NORMINV(RAND(),最终结果!$I$12,最终结果!$E$12),0)</f>
        <v>113</v>
      </c>
      <c r="G604" t="str">
        <f t="shared" ca="1" si="20"/>
        <v>Home</v>
      </c>
      <c r="H604" t="str">
        <f ca="1">IF(E604+最终结果!$G$8&gt;simulation!F604,"W","L")</f>
        <v>L</v>
      </c>
      <c r="I604" t="str">
        <f ca="1">IF(F604+最终结果!$G$12&gt;simulation!E604,"W","L")</f>
        <v>W</v>
      </c>
      <c r="J604" t="str">
        <f ca="1">IF((E604+F604)&gt;最终结果!$H$8,"Over","Under")</f>
        <v>Under</v>
      </c>
    </row>
    <row r="605" spans="3:10" x14ac:dyDescent="0.25">
      <c r="C605">
        <v>604</v>
      </c>
      <c r="D605" t="str">
        <f t="shared" ca="1" si="19"/>
        <v>-1</v>
      </c>
      <c r="E605">
        <f ca="1">ROUND(NORMINV(RAND(),最终结果!$I$8,最终结果!$E$8),0)</f>
        <v>112</v>
      </c>
      <c r="F605">
        <f ca="1">ROUND(NORMINV(RAND(),最终结果!$I$12,最终结果!$E$12),0)</f>
        <v>127</v>
      </c>
      <c r="G605" t="str">
        <f t="shared" ca="1" si="20"/>
        <v>Home</v>
      </c>
      <c r="H605" t="str">
        <f ca="1">IF(E605+最终结果!$G$8&gt;simulation!F605,"W","L")</f>
        <v>L</v>
      </c>
      <c r="I605" t="str">
        <f ca="1">IF(F605+最终结果!$G$12&gt;simulation!E605,"W","L")</f>
        <v>W</v>
      </c>
      <c r="J605" t="str">
        <f ca="1">IF((E605+F605)&gt;最终结果!$H$8,"Over","Under")</f>
        <v>Over</v>
      </c>
    </row>
    <row r="606" spans="3:10" x14ac:dyDescent="0.25">
      <c r="C606">
        <v>605</v>
      </c>
      <c r="D606" t="str">
        <f t="shared" ca="1" si="19"/>
        <v>1</v>
      </c>
      <c r="E606">
        <f ca="1">ROUND(NORMINV(RAND(),最终结果!$I$8,最终结果!$E$8),0)</f>
        <v>118</v>
      </c>
      <c r="F606">
        <f ca="1">ROUND(NORMINV(RAND(),最终结果!$I$12,最终结果!$E$12),0)</f>
        <v>112</v>
      </c>
      <c r="G606" t="str">
        <f t="shared" ca="1" si="20"/>
        <v>Away</v>
      </c>
      <c r="H606" t="str">
        <f ca="1">IF(E606+最终结果!$G$8&gt;simulation!F606,"W","L")</f>
        <v>W</v>
      </c>
      <c r="I606" t="str">
        <f ca="1">IF(F606+最终结果!$G$12&gt;simulation!E606,"W","L")</f>
        <v>L</v>
      </c>
      <c r="J606" t="str">
        <f ca="1">IF((E606+F606)&gt;最终结果!$H$8,"Over","Under")</f>
        <v>Under</v>
      </c>
    </row>
    <row r="607" spans="3:10" x14ac:dyDescent="0.25">
      <c r="C607">
        <v>606</v>
      </c>
      <c r="D607" t="str">
        <f t="shared" ca="1" si="19"/>
        <v>-1</v>
      </c>
      <c r="E607">
        <f ca="1">ROUND(NORMINV(RAND(),最终结果!$I$8,最终结果!$E$8),0)</f>
        <v>97</v>
      </c>
      <c r="F607">
        <f ca="1">ROUND(NORMINV(RAND(),最终结果!$I$12,最终结果!$E$12),0)</f>
        <v>129</v>
      </c>
      <c r="G607" t="str">
        <f t="shared" ca="1" si="20"/>
        <v>Home</v>
      </c>
      <c r="H607" t="str">
        <f ca="1">IF(E607+最终结果!$G$8&gt;simulation!F607,"W","L")</f>
        <v>L</v>
      </c>
      <c r="I607" t="str">
        <f ca="1">IF(F607+最终结果!$G$12&gt;simulation!E607,"W","L")</f>
        <v>W</v>
      </c>
      <c r="J607" t="str">
        <f ca="1">IF((E607+F607)&gt;最终结果!$H$8,"Over","Under")</f>
        <v>Under</v>
      </c>
    </row>
    <row r="608" spans="3:10" x14ac:dyDescent="0.25">
      <c r="C608">
        <v>607</v>
      </c>
      <c r="D608" t="str">
        <f t="shared" ca="1" si="19"/>
        <v>-1</v>
      </c>
      <c r="E608">
        <f ca="1">ROUND(NORMINV(RAND(),最终结果!$I$8,最终结果!$E$8),0)</f>
        <v>100</v>
      </c>
      <c r="F608">
        <f ca="1">ROUND(NORMINV(RAND(),最终结果!$I$12,最终结果!$E$12),0)</f>
        <v>113</v>
      </c>
      <c r="G608" t="str">
        <f t="shared" ca="1" si="20"/>
        <v>Home</v>
      </c>
      <c r="H608" t="str">
        <f ca="1">IF(E608+最终结果!$G$8&gt;simulation!F608,"W","L")</f>
        <v>L</v>
      </c>
      <c r="I608" t="str">
        <f ca="1">IF(F608+最终结果!$G$12&gt;simulation!E608,"W","L")</f>
        <v>W</v>
      </c>
      <c r="J608" t="str">
        <f ca="1">IF((E608+F608)&gt;最终结果!$H$8,"Over","Under")</f>
        <v>Under</v>
      </c>
    </row>
    <row r="609" spans="3:10" x14ac:dyDescent="0.25">
      <c r="C609">
        <v>608</v>
      </c>
      <c r="D609" t="str">
        <f t="shared" ca="1" si="19"/>
        <v>-1</v>
      </c>
      <c r="E609">
        <f ca="1">ROUND(NORMINV(RAND(),最终结果!$I$8,最终结果!$E$8),0)</f>
        <v>111</v>
      </c>
      <c r="F609">
        <f ca="1">ROUND(NORMINV(RAND(),最终结果!$I$12,最终结果!$E$12),0)</f>
        <v>116</v>
      </c>
      <c r="G609" t="str">
        <f t="shared" ca="1" si="20"/>
        <v>Home</v>
      </c>
      <c r="H609" t="str">
        <f ca="1">IF(E609+最终结果!$G$8&gt;simulation!F609,"W","L")</f>
        <v>L</v>
      </c>
      <c r="I609" t="str">
        <f ca="1">IF(F609+最终结果!$G$12&gt;simulation!E609,"W","L")</f>
        <v>W</v>
      </c>
      <c r="J609" t="str">
        <f ca="1">IF((E609+F609)&gt;最终结果!$H$8,"Over","Under")</f>
        <v>Under</v>
      </c>
    </row>
    <row r="610" spans="3:10" x14ac:dyDescent="0.25">
      <c r="C610">
        <v>609</v>
      </c>
      <c r="D610" t="str">
        <f t="shared" ca="1" si="19"/>
        <v>-1</v>
      </c>
      <c r="E610">
        <f ca="1">ROUND(NORMINV(RAND(),最终结果!$I$8,最终结果!$E$8),0)</f>
        <v>109</v>
      </c>
      <c r="F610">
        <f ca="1">ROUND(NORMINV(RAND(),最终结果!$I$12,最终结果!$E$12),0)</f>
        <v>115</v>
      </c>
      <c r="G610" t="str">
        <f t="shared" ca="1" si="20"/>
        <v>Home</v>
      </c>
      <c r="H610" t="str">
        <f ca="1">IF(E610+最终结果!$G$8&gt;simulation!F610,"W","L")</f>
        <v>L</v>
      </c>
      <c r="I610" t="str">
        <f ca="1">IF(F610+最终结果!$G$12&gt;simulation!E610,"W","L")</f>
        <v>W</v>
      </c>
      <c r="J610" t="str">
        <f ca="1">IF((E610+F610)&gt;最终结果!$H$8,"Over","Under")</f>
        <v>Under</v>
      </c>
    </row>
    <row r="611" spans="3:10" x14ac:dyDescent="0.25">
      <c r="C611">
        <v>610</v>
      </c>
      <c r="D611" t="str">
        <f t="shared" ca="1" si="19"/>
        <v>1</v>
      </c>
      <c r="E611">
        <f ca="1">ROUND(NORMINV(RAND(),最终结果!$I$8,最终结果!$E$8),0)</f>
        <v>118</v>
      </c>
      <c r="F611">
        <f ca="1">ROUND(NORMINV(RAND(),最终结果!$I$12,最终结果!$E$12),0)</f>
        <v>109</v>
      </c>
      <c r="G611" t="str">
        <f t="shared" ca="1" si="20"/>
        <v>Away</v>
      </c>
      <c r="H611" t="str">
        <f ca="1">IF(E611+最终结果!$G$8&gt;simulation!F611,"W","L")</f>
        <v>W</v>
      </c>
      <c r="I611" t="str">
        <f ca="1">IF(F611+最终结果!$G$12&gt;simulation!E611,"W","L")</f>
        <v>L</v>
      </c>
      <c r="J611" t="str">
        <f ca="1">IF((E611+F611)&gt;最终结果!$H$8,"Over","Under")</f>
        <v>Under</v>
      </c>
    </row>
    <row r="612" spans="3:10" x14ac:dyDescent="0.25">
      <c r="C612">
        <v>611</v>
      </c>
      <c r="D612" t="str">
        <f t="shared" ca="1" si="19"/>
        <v>1</v>
      </c>
      <c r="E612">
        <f ca="1">ROUND(NORMINV(RAND(),最终结果!$I$8,最终结果!$E$8),0)</f>
        <v>128</v>
      </c>
      <c r="F612">
        <f ca="1">ROUND(NORMINV(RAND(),最终结果!$I$12,最终结果!$E$12),0)</f>
        <v>119</v>
      </c>
      <c r="G612" t="str">
        <f t="shared" ca="1" si="20"/>
        <v>Away</v>
      </c>
      <c r="H612" t="str">
        <f ca="1">IF(E612+最终结果!$G$8&gt;simulation!F612,"W","L")</f>
        <v>W</v>
      </c>
      <c r="I612" t="str">
        <f ca="1">IF(F612+最终结果!$G$12&gt;simulation!E612,"W","L")</f>
        <v>L</v>
      </c>
      <c r="J612" t="str">
        <f ca="1">IF((E612+F612)&gt;最终结果!$H$8,"Over","Under")</f>
        <v>Over</v>
      </c>
    </row>
    <row r="613" spans="3:10" x14ac:dyDescent="0.25">
      <c r="C613">
        <v>612</v>
      </c>
      <c r="D613" t="str">
        <f t="shared" ca="1" si="19"/>
        <v>-1</v>
      </c>
      <c r="E613">
        <f ca="1">ROUND(NORMINV(RAND(),最终结果!$I$8,最终结果!$E$8),0)</f>
        <v>106</v>
      </c>
      <c r="F613">
        <f ca="1">ROUND(NORMINV(RAND(),最终结果!$I$12,最终结果!$E$12),0)</f>
        <v>115</v>
      </c>
      <c r="G613" t="str">
        <f t="shared" ca="1" si="20"/>
        <v>Home</v>
      </c>
      <c r="H613" t="str">
        <f ca="1">IF(E613+最终结果!$G$8&gt;simulation!F613,"W","L")</f>
        <v>L</v>
      </c>
      <c r="I613" t="str">
        <f ca="1">IF(F613+最终结果!$G$12&gt;simulation!E613,"W","L")</f>
        <v>W</v>
      </c>
      <c r="J613" t="str">
        <f ca="1">IF((E613+F613)&gt;最终结果!$H$8,"Over","Under")</f>
        <v>Under</v>
      </c>
    </row>
    <row r="614" spans="3:10" x14ac:dyDescent="0.25">
      <c r="C614">
        <v>613</v>
      </c>
      <c r="D614" t="str">
        <f t="shared" ca="1" si="19"/>
        <v>-1</v>
      </c>
      <c r="E614">
        <f ca="1">ROUND(NORMINV(RAND(),最终结果!$I$8,最终结果!$E$8),0)</f>
        <v>116</v>
      </c>
      <c r="F614">
        <f ca="1">ROUND(NORMINV(RAND(),最终结果!$I$12,最终结果!$E$12),0)</f>
        <v>122</v>
      </c>
      <c r="G614" t="str">
        <f t="shared" ca="1" si="20"/>
        <v>Home</v>
      </c>
      <c r="H614" t="str">
        <f ca="1">IF(E614+最终结果!$G$8&gt;simulation!F614,"W","L")</f>
        <v>L</v>
      </c>
      <c r="I614" t="str">
        <f ca="1">IF(F614+最终结果!$G$12&gt;simulation!E614,"W","L")</f>
        <v>W</v>
      </c>
      <c r="J614" t="str">
        <f ca="1">IF((E614+F614)&gt;最终结果!$H$8,"Over","Under")</f>
        <v>Over</v>
      </c>
    </row>
    <row r="615" spans="3:10" x14ac:dyDescent="0.25">
      <c r="C615">
        <v>614</v>
      </c>
      <c r="D615" t="str">
        <f t="shared" ca="1" si="19"/>
        <v>-1</v>
      </c>
      <c r="E615">
        <f ca="1">ROUND(NORMINV(RAND(),最终结果!$I$8,最终结果!$E$8),0)</f>
        <v>117</v>
      </c>
      <c r="F615">
        <f ca="1">ROUND(NORMINV(RAND(),最终结果!$I$12,最终结果!$E$12),0)</f>
        <v>126</v>
      </c>
      <c r="G615" t="str">
        <f t="shared" ca="1" si="20"/>
        <v>Home</v>
      </c>
      <c r="H615" t="str">
        <f ca="1">IF(E615+最终结果!$G$8&gt;simulation!F615,"W","L")</f>
        <v>L</v>
      </c>
      <c r="I615" t="str">
        <f ca="1">IF(F615+最终结果!$G$12&gt;simulation!E615,"W","L")</f>
        <v>W</v>
      </c>
      <c r="J615" t="str">
        <f ca="1">IF((E615+F615)&gt;最终结果!$H$8,"Over","Under")</f>
        <v>Over</v>
      </c>
    </row>
    <row r="616" spans="3:10" x14ac:dyDescent="0.25">
      <c r="C616">
        <v>615</v>
      </c>
      <c r="D616" t="str">
        <f t="shared" ca="1" si="19"/>
        <v>1</v>
      </c>
      <c r="E616">
        <f ca="1">ROUND(NORMINV(RAND(),最终结果!$I$8,最终结果!$E$8),0)</f>
        <v>125</v>
      </c>
      <c r="F616">
        <f ca="1">ROUND(NORMINV(RAND(),最终结果!$I$12,最终结果!$E$12),0)</f>
        <v>118</v>
      </c>
      <c r="G616" t="str">
        <f t="shared" ca="1" si="20"/>
        <v>Away</v>
      </c>
      <c r="H616" t="str">
        <f ca="1">IF(E616+最终结果!$G$8&gt;simulation!F616,"W","L")</f>
        <v>W</v>
      </c>
      <c r="I616" t="str">
        <f ca="1">IF(F616+最终结果!$G$12&gt;simulation!E616,"W","L")</f>
        <v>L</v>
      </c>
      <c r="J616" t="str">
        <f ca="1">IF((E616+F616)&gt;最终结果!$H$8,"Over","Under")</f>
        <v>Over</v>
      </c>
    </row>
    <row r="617" spans="3:10" x14ac:dyDescent="0.25">
      <c r="C617">
        <v>616</v>
      </c>
      <c r="D617" t="str">
        <f t="shared" ca="1" si="19"/>
        <v>1</v>
      </c>
      <c r="E617">
        <f ca="1">ROUND(NORMINV(RAND(),最终结果!$I$8,最终结果!$E$8),0)</f>
        <v>129</v>
      </c>
      <c r="F617">
        <f ca="1">ROUND(NORMINV(RAND(),最终结果!$I$12,最终结果!$E$12),0)</f>
        <v>110</v>
      </c>
      <c r="G617" t="str">
        <f t="shared" ca="1" si="20"/>
        <v>Away</v>
      </c>
      <c r="H617" t="str">
        <f ca="1">IF(E617+最终结果!$G$8&gt;simulation!F617,"W","L")</f>
        <v>W</v>
      </c>
      <c r="I617" t="str">
        <f ca="1">IF(F617+最终结果!$G$12&gt;simulation!E617,"W","L")</f>
        <v>L</v>
      </c>
      <c r="J617" t="str">
        <f ca="1">IF((E617+F617)&gt;最终结果!$H$8,"Over","Under")</f>
        <v>Over</v>
      </c>
    </row>
    <row r="618" spans="3:10" x14ac:dyDescent="0.25">
      <c r="C618">
        <v>617</v>
      </c>
      <c r="D618" t="str">
        <f t="shared" ca="1" si="19"/>
        <v>1</v>
      </c>
      <c r="E618">
        <f ca="1">ROUND(NORMINV(RAND(),最终结果!$I$8,最终结果!$E$8),0)</f>
        <v>117</v>
      </c>
      <c r="F618">
        <f ca="1">ROUND(NORMINV(RAND(),最终结果!$I$12,最终结果!$E$12),0)</f>
        <v>110</v>
      </c>
      <c r="G618" t="str">
        <f t="shared" ca="1" si="20"/>
        <v>Away</v>
      </c>
      <c r="H618" t="str">
        <f ca="1">IF(E618+最终结果!$G$8&gt;simulation!F618,"W","L")</f>
        <v>W</v>
      </c>
      <c r="I618" t="str">
        <f ca="1">IF(F618+最终结果!$G$12&gt;simulation!E618,"W","L")</f>
        <v>L</v>
      </c>
      <c r="J618" t="str">
        <f ca="1">IF((E618+F618)&gt;最终结果!$H$8,"Over","Under")</f>
        <v>Under</v>
      </c>
    </row>
    <row r="619" spans="3:10" x14ac:dyDescent="0.25">
      <c r="C619">
        <v>618</v>
      </c>
      <c r="D619" t="str">
        <f t="shared" ca="1" si="19"/>
        <v>1</v>
      </c>
      <c r="E619">
        <f ca="1">ROUND(NORMINV(RAND(),最终结果!$I$8,最终结果!$E$8),0)</f>
        <v>115</v>
      </c>
      <c r="F619">
        <f ca="1">ROUND(NORMINV(RAND(),最终结果!$I$12,最终结果!$E$12),0)</f>
        <v>97</v>
      </c>
      <c r="G619" t="str">
        <f t="shared" ca="1" si="20"/>
        <v>Away</v>
      </c>
      <c r="H619" t="str">
        <f ca="1">IF(E619+最终结果!$G$8&gt;simulation!F619,"W","L")</f>
        <v>W</v>
      </c>
      <c r="I619" t="str">
        <f ca="1">IF(F619+最终结果!$G$12&gt;simulation!E619,"W","L")</f>
        <v>L</v>
      </c>
      <c r="J619" t="str">
        <f ca="1">IF((E619+F619)&gt;最终结果!$H$8,"Over","Under")</f>
        <v>Under</v>
      </c>
    </row>
    <row r="620" spans="3:10" x14ac:dyDescent="0.25">
      <c r="C620">
        <v>619</v>
      </c>
      <c r="D620" t="str">
        <f t="shared" ca="1" si="19"/>
        <v>-1</v>
      </c>
      <c r="E620">
        <f ca="1">ROUND(NORMINV(RAND(),最终结果!$I$8,最终结果!$E$8),0)</f>
        <v>104</v>
      </c>
      <c r="F620">
        <f ca="1">ROUND(NORMINV(RAND(),最终结果!$I$12,最终结果!$E$12),0)</f>
        <v>110</v>
      </c>
      <c r="G620" t="str">
        <f t="shared" ca="1" si="20"/>
        <v>Home</v>
      </c>
      <c r="H620" t="str">
        <f ca="1">IF(E620+最终结果!$G$8&gt;simulation!F620,"W","L")</f>
        <v>L</v>
      </c>
      <c r="I620" t="str">
        <f ca="1">IF(F620+最终结果!$G$12&gt;simulation!E620,"W","L")</f>
        <v>W</v>
      </c>
      <c r="J620" t="str">
        <f ca="1">IF((E620+F620)&gt;最终结果!$H$8,"Over","Under")</f>
        <v>Under</v>
      </c>
    </row>
    <row r="621" spans="3:10" x14ac:dyDescent="0.25">
      <c r="C621">
        <v>620</v>
      </c>
      <c r="D621" t="str">
        <f t="shared" ca="1" si="19"/>
        <v>-1</v>
      </c>
      <c r="E621">
        <f ca="1">ROUND(NORMINV(RAND(),最终结果!$I$8,最终结果!$E$8),0)</f>
        <v>128</v>
      </c>
      <c r="F621">
        <f ca="1">ROUND(NORMINV(RAND(),最终结果!$I$12,最终结果!$E$12),0)</f>
        <v>129</v>
      </c>
      <c r="G621" t="str">
        <f t="shared" ca="1" si="20"/>
        <v>Home</v>
      </c>
      <c r="H621" t="str">
        <f ca="1">IF(E621+最终结果!$G$8&gt;simulation!F621,"W","L")</f>
        <v>W</v>
      </c>
      <c r="I621" t="str">
        <f ca="1">IF(F621+最终结果!$G$12&gt;simulation!E621,"W","L")</f>
        <v>L</v>
      </c>
      <c r="J621" t="str">
        <f ca="1">IF((E621+F621)&gt;最终结果!$H$8,"Over","Under")</f>
        <v>Over</v>
      </c>
    </row>
    <row r="622" spans="3:10" x14ac:dyDescent="0.25">
      <c r="C622">
        <v>621</v>
      </c>
      <c r="D622" t="str">
        <f t="shared" ca="1" si="19"/>
        <v>1</v>
      </c>
      <c r="E622">
        <f ca="1">ROUND(NORMINV(RAND(),最终结果!$I$8,最终结果!$E$8),0)</f>
        <v>150</v>
      </c>
      <c r="F622">
        <f ca="1">ROUND(NORMINV(RAND(),最终结果!$I$12,最终结果!$E$12),0)</f>
        <v>107</v>
      </c>
      <c r="G622" t="str">
        <f t="shared" ca="1" si="20"/>
        <v>Away</v>
      </c>
      <c r="H622" t="str">
        <f ca="1">IF(E622+最终结果!$G$8&gt;simulation!F622,"W","L")</f>
        <v>W</v>
      </c>
      <c r="I622" t="str">
        <f ca="1">IF(F622+最终结果!$G$12&gt;simulation!E622,"W","L")</f>
        <v>L</v>
      </c>
      <c r="J622" t="str">
        <f ca="1">IF((E622+F622)&gt;最终结果!$H$8,"Over","Under")</f>
        <v>Over</v>
      </c>
    </row>
    <row r="623" spans="3:10" x14ac:dyDescent="0.25">
      <c r="C623">
        <v>622</v>
      </c>
      <c r="D623" t="str">
        <f t="shared" ca="1" si="19"/>
        <v>-1</v>
      </c>
      <c r="E623">
        <f ca="1">ROUND(NORMINV(RAND(),最终结果!$I$8,最终结果!$E$8),0)</f>
        <v>116</v>
      </c>
      <c r="F623">
        <f ca="1">ROUND(NORMINV(RAND(),最终结果!$I$12,最终结果!$E$12),0)</f>
        <v>120</v>
      </c>
      <c r="G623" t="str">
        <f t="shared" ca="1" si="20"/>
        <v>Home</v>
      </c>
      <c r="H623" t="str">
        <f ca="1">IF(E623+最终结果!$G$8&gt;simulation!F623,"W","L")</f>
        <v>L</v>
      </c>
      <c r="I623" t="str">
        <f ca="1">IF(F623+最终结果!$G$12&gt;simulation!E623,"W","L")</f>
        <v>W</v>
      </c>
      <c r="J623" t="str">
        <f ca="1">IF((E623+F623)&gt;最终结果!$H$8,"Over","Under")</f>
        <v>Under</v>
      </c>
    </row>
    <row r="624" spans="3:10" x14ac:dyDescent="0.25">
      <c r="C624">
        <v>623</v>
      </c>
      <c r="D624" t="str">
        <f t="shared" ca="1" si="19"/>
        <v>1</v>
      </c>
      <c r="E624">
        <f ca="1">ROUND(NORMINV(RAND(),最终结果!$I$8,最终结果!$E$8),0)</f>
        <v>107</v>
      </c>
      <c r="F624">
        <f ca="1">ROUND(NORMINV(RAND(),最终结果!$I$12,最终结果!$E$12),0)</f>
        <v>106</v>
      </c>
      <c r="G624" t="str">
        <f t="shared" ca="1" si="20"/>
        <v>Away</v>
      </c>
      <c r="H624" t="str">
        <f ca="1">IF(E624+最终结果!$G$8&gt;simulation!F624,"W","L")</f>
        <v>W</v>
      </c>
      <c r="I624" t="str">
        <f ca="1">IF(F624+最终结果!$G$12&gt;simulation!E624,"W","L")</f>
        <v>L</v>
      </c>
      <c r="J624" t="str">
        <f ca="1">IF((E624+F624)&gt;最终结果!$H$8,"Over","Under")</f>
        <v>Under</v>
      </c>
    </row>
    <row r="625" spans="3:10" x14ac:dyDescent="0.25">
      <c r="C625">
        <v>624</v>
      </c>
      <c r="D625" t="str">
        <f t="shared" ca="1" si="19"/>
        <v>-1</v>
      </c>
      <c r="E625">
        <f ca="1">ROUND(NORMINV(RAND(),最终结果!$I$8,最终结果!$E$8),0)</f>
        <v>112</v>
      </c>
      <c r="F625">
        <f ca="1">ROUND(NORMINV(RAND(),最终结果!$I$12,最终结果!$E$12),0)</f>
        <v>131</v>
      </c>
      <c r="G625" t="str">
        <f t="shared" ca="1" si="20"/>
        <v>Home</v>
      </c>
      <c r="H625" t="str">
        <f ca="1">IF(E625+最终结果!$G$8&gt;simulation!F625,"W","L")</f>
        <v>L</v>
      </c>
      <c r="I625" t="str">
        <f ca="1">IF(F625+最终结果!$G$12&gt;simulation!E625,"W","L")</f>
        <v>W</v>
      </c>
      <c r="J625" t="str">
        <f ca="1">IF((E625+F625)&gt;最终结果!$H$8,"Over","Under")</f>
        <v>Over</v>
      </c>
    </row>
    <row r="626" spans="3:10" x14ac:dyDescent="0.25">
      <c r="C626">
        <v>625</v>
      </c>
      <c r="D626" t="str">
        <f t="shared" ca="1" si="19"/>
        <v>-1</v>
      </c>
      <c r="E626">
        <f ca="1">ROUND(NORMINV(RAND(),最终结果!$I$8,最终结果!$E$8),0)</f>
        <v>117</v>
      </c>
      <c r="F626">
        <f ca="1">ROUND(NORMINV(RAND(),最终结果!$I$12,最终结果!$E$12),0)</f>
        <v>120</v>
      </c>
      <c r="G626" t="str">
        <f t="shared" ca="1" si="20"/>
        <v>Home</v>
      </c>
      <c r="H626" t="str">
        <f ca="1">IF(E626+最终结果!$G$8&gt;simulation!F626,"W","L")</f>
        <v>L</v>
      </c>
      <c r="I626" t="str">
        <f ca="1">IF(F626+最终结果!$G$12&gt;simulation!E626,"W","L")</f>
        <v>L</v>
      </c>
      <c r="J626" t="str">
        <f ca="1">IF((E626+F626)&gt;最终结果!$H$8,"Over","Under")</f>
        <v>Under</v>
      </c>
    </row>
    <row r="627" spans="3:10" x14ac:dyDescent="0.25">
      <c r="C627">
        <v>626</v>
      </c>
      <c r="D627" t="str">
        <f t="shared" ca="1" si="19"/>
        <v>-1</v>
      </c>
      <c r="E627">
        <f ca="1">ROUND(NORMINV(RAND(),最终结果!$I$8,最终结果!$E$8),0)</f>
        <v>106</v>
      </c>
      <c r="F627">
        <f ca="1">ROUND(NORMINV(RAND(),最终结果!$I$12,最终结果!$E$12),0)</f>
        <v>113</v>
      </c>
      <c r="G627" t="str">
        <f t="shared" ca="1" si="20"/>
        <v>Home</v>
      </c>
      <c r="H627" t="str">
        <f ca="1">IF(E627+最终结果!$G$8&gt;simulation!F627,"W","L")</f>
        <v>L</v>
      </c>
      <c r="I627" t="str">
        <f ca="1">IF(F627+最终结果!$G$12&gt;simulation!E627,"W","L")</f>
        <v>W</v>
      </c>
      <c r="J627" t="str">
        <f ca="1">IF((E627+F627)&gt;最终结果!$H$8,"Over","Under")</f>
        <v>Under</v>
      </c>
    </row>
    <row r="628" spans="3:10" x14ac:dyDescent="0.25">
      <c r="C628">
        <v>627</v>
      </c>
      <c r="D628" t="str">
        <f t="shared" ca="1" si="19"/>
        <v>1</v>
      </c>
      <c r="E628">
        <f ca="1">ROUND(NORMINV(RAND(),最终结果!$I$8,最终结果!$E$8),0)</f>
        <v>130</v>
      </c>
      <c r="F628">
        <f ca="1">ROUND(NORMINV(RAND(),最终结果!$I$12,最终结果!$E$12),0)</f>
        <v>121</v>
      </c>
      <c r="G628" t="str">
        <f t="shared" ca="1" si="20"/>
        <v>Away</v>
      </c>
      <c r="H628" t="str">
        <f ca="1">IF(E628+最终结果!$G$8&gt;simulation!F628,"W","L")</f>
        <v>W</v>
      </c>
      <c r="I628" t="str">
        <f ca="1">IF(F628+最终结果!$G$12&gt;simulation!E628,"W","L")</f>
        <v>L</v>
      </c>
      <c r="J628" t="str">
        <f ca="1">IF((E628+F628)&gt;最终结果!$H$8,"Over","Under")</f>
        <v>Over</v>
      </c>
    </row>
    <row r="629" spans="3:10" x14ac:dyDescent="0.25">
      <c r="C629">
        <v>628</v>
      </c>
      <c r="D629" t="str">
        <f t="shared" ca="1" si="19"/>
        <v>1</v>
      </c>
      <c r="E629">
        <f ca="1">ROUND(NORMINV(RAND(),最终结果!$I$8,最终结果!$E$8),0)</f>
        <v>129</v>
      </c>
      <c r="F629">
        <f ca="1">ROUND(NORMINV(RAND(),最终结果!$I$12,最终结果!$E$12),0)</f>
        <v>125</v>
      </c>
      <c r="G629" t="str">
        <f t="shared" ca="1" si="20"/>
        <v>Away</v>
      </c>
      <c r="H629" t="str">
        <f ca="1">IF(E629+最终结果!$G$8&gt;simulation!F629,"W","L")</f>
        <v>W</v>
      </c>
      <c r="I629" t="str">
        <f ca="1">IF(F629+最终结果!$G$12&gt;simulation!E629,"W","L")</f>
        <v>L</v>
      </c>
      <c r="J629" t="str">
        <f ca="1">IF((E629+F629)&gt;最终结果!$H$8,"Over","Under")</f>
        <v>Over</v>
      </c>
    </row>
    <row r="630" spans="3:10" x14ac:dyDescent="0.25">
      <c r="C630">
        <v>629</v>
      </c>
      <c r="D630" t="str">
        <f t="shared" ca="1" si="19"/>
        <v>-1</v>
      </c>
      <c r="E630">
        <f ca="1">ROUND(NORMINV(RAND(),最终结果!$I$8,最终结果!$E$8),0)</f>
        <v>118</v>
      </c>
      <c r="F630">
        <f ca="1">ROUND(NORMINV(RAND(),最终结果!$I$12,最终结果!$E$12),0)</f>
        <v>129</v>
      </c>
      <c r="G630" t="str">
        <f t="shared" ca="1" si="20"/>
        <v>Home</v>
      </c>
      <c r="H630" t="str">
        <f ca="1">IF(E630+最终结果!$G$8&gt;simulation!F630,"W","L")</f>
        <v>L</v>
      </c>
      <c r="I630" t="str">
        <f ca="1">IF(F630+最终结果!$G$12&gt;simulation!E630,"W","L")</f>
        <v>W</v>
      </c>
      <c r="J630" t="str">
        <f ca="1">IF((E630+F630)&gt;最终结果!$H$8,"Over","Under")</f>
        <v>Over</v>
      </c>
    </row>
    <row r="631" spans="3:10" x14ac:dyDescent="0.25">
      <c r="C631">
        <v>630</v>
      </c>
      <c r="D631" t="str">
        <f t="shared" ca="1" si="19"/>
        <v>-1</v>
      </c>
      <c r="E631">
        <f ca="1">ROUND(NORMINV(RAND(),最终结果!$I$8,最终结果!$E$8),0)</f>
        <v>93</v>
      </c>
      <c r="F631">
        <f ca="1">ROUND(NORMINV(RAND(),最终结果!$I$12,最终结果!$E$12),0)</f>
        <v>102</v>
      </c>
      <c r="G631" t="str">
        <f t="shared" ca="1" si="20"/>
        <v>Home</v>
      </c>
      <c r="H631" t="str">
        <f ca="1">IF(E631+最终结果!$G$8&gt;simulation!F631,"W","L")</f>
        <v>L</v>
      </c>
      <c r="I631" t="str">
        <f ca="1">IF(F631+最终结果!$G$12&gt;simulation!E631,"W","L")</f>
        <v>W</v>
      </c>
      <c r="J631" t="str">
        <f ca="1">IF((E631+F631)&gt;最终结果!$H$8,"Over","Under")</f>
        <v>Under</v>
      </c>
    </row>
    <row r="632" spans="3:10" x14ac:dyDescent="0.25">
      <c r="C632">
        <v>631</v>
      </c>
      <c r="D632" t="str">
        <f t="shared" ca="1" si="19"/>
        <v>1</v>
      </c>
      <c r="E632">
        <f ca="1">ROUND(NORMINV(RAND(),最终结果!$I$8,最终结果!$E$8),0)</f>
        <v>129</v>
      </c>
      <c r="F632">
        <f ca="1">ROUND(NORMINV(RAND(),最终结果!$I$12,最终结果!$E$12),0)</f>
        <v>98</v>
      </c>
      <c r="G632" t="str">
        <f t="shared" ca="1" si="20"/>
        <v>Away</v>
      </c>
      <c r="H632" t="str">
        <f ca="1">IF(E632+最终结果!$G$8&gt;simulation!F632,"W","L")</f>
        <v>W</v>
      </c>
      <c r="I632" t="str">
        <f ca="1">IF(F632+最终结果!$G$12&gt;simulation!E632,"W","L")</f>
        <v>L</v>
      </c>
      <c r="J632" t="str">
        <f ca="1">IF((E632+F632)&gt;最终结果!$H$8,"Over","Under")</f>
        <v>Under</v>
      </c>
    </row>
    <row r="633" spans="3:10" x14ac:dyDescent="0.25">
      <c r="C633">
        <v>632</v>
      </c>
      <c r="D633">
        <f t="shared" ca="1" si="19"/>
        <v>0</v>
      </c>
      <c r="E633">
        <f ca="1">ROUND(NORMINV(RAND(),最终结果!$I$8,最终结果!$E$8),0)</f>
        <v>106</v>
      </c>
      <c r="F633">
        <f ca="1">ROUND(NORMINV(RAND(),最终结果!$I$12,最终结果!$E$12),0)</f>
        <v>106</v>
      </c>
      <c r="G633" t="str">
        <f t="shared" ca="1" si="20"/>
        <v>OT</v>
      </c>
      <c r="H633" t="str">
        <f ca="1">IF(E633+最终结果!$G$8&gt;simulation!F633,"W","L")</f>
        <v>W</v>
      </c>
      <c r="I633" t="str">
        <f ca="1">IF(F633+最终结果!$G$12&gt;simulation!E633,"W","L")</f>
        <v>L</v>
      </c>
      <c r="J633" t="str">
        <f ca="1">IF((E633+F633)&gt;最终结果!$H$8,"Over","Under")</f>
        <v>Under</v>
      </c>
    </row>
    <row r="634" spans="3:10" x14ac:dyDescent="0.25">
      <c r="C634">
        <v>633</v>
      </c>
      <c r="D634" t="str">
        <f t="shared" ca="1" si="19"/>
        <v>-1</v>
      </c>
      <c r="E634">
        <f ca="1">ROUND(NORMINV(RAND(),最终结果!$I$8,最终结果!$E$8),0)</f>
        <v>99</v>
      </c>
      <c r="F634">
        <f ca="1">ROUND(NORMINV(RAND(),最终结果!$I$12,最终结果!$E$12),0)</f>
        <v>117</v>
      </c>
      <c r="G634" t="str">
        <f t="shared" ca="1" si="20"/>
        <v>Home</v>
      </c>
      <c r="H634" t="str">
        <f ca="1">IF(E634+最终结果!$G$8&gt;simulation!F634,"W","L")</f>
        <v>L</v>
      </c>
      <c r="I634" t="str">
        <f ca="1">IF(F634+最终结果!$G$12&gt;simulation!E634,"W","L")</f>
        <v>W</v>
      </c>
      <c r="J634" t="str">
        <f ca="1">IF((E634+F634)&gt;最终结果!$H$8,"Over","Under")</f>
        <v>Under</v>
      </c>
    </row>
    <row r="635" spans="3:10" x14ac:dyDescent="0.25">
      <c r="C635">
        <v>634</v>
      </c>
      <c r="D635" t="str">
        <f t="shared" ca="1" si="19"/>
        <v>-1</v>
      </c>
      <c r="E635">
        <f ca="1">ROUND(NORMINV(RAND(),最终结果!$I$8,最终结果!$E$8),0)</f>
        <v>99</v>
      </c>
      <c r="F635">
        <f ca="1">ROUND(NORMINV(RAND(),最终结果!$I$12,最终结果!$E$12),0)</f>
        <v>130</v>
      </c>
      <c r="G635" t="str">
        <f t="shared" ca="1" si="20"/>
        <v>Home</v>
      </c>
      <c r="H635" t="str">
        <f ca="1">IF(E635+最终结果!$G$8&gt;simulation!F635,"W","L")</f>
        <v>L</v>
      </c>
      <c r="I635" t="str">
        <f ca="1">IF(F635+最终结果!$G$12&gt;simulation!E635,"W","L")</f>
        <v>W</v>
      </c>
      <c r="J635" t="str">
        <f ca="1">IF((E635+F635)&gt;最终结果!$H$8,"Over","Under")</f>
        <v>Under</v>
      </c>
    </row>
    <row r="636" spans="3:10" x14ac:dyDescent="0.25">
      <c r="C636">
        <v>635</v>
      </c>
      <c r="D636" t="str">
        <f t="shared" ca="1" si="19"/>
        <v>-1</v>
      </c>
      <c r="E636">
        <f ca="1">ROUND(NORMINV(RAND(),最终结果!$I$8,最终结果!$E$8),0)</f>
        <v>108</v>
      </c>
      <c r="F636">
        <f ca="1">ROUND(NORMINV(RAND(),最终结果!$I$12,最终结果!$E$12),0)</f>
        <v>125</v>
      </c>
      <c r="G636" t="str">
        <f t="shared" ca="1" si="20"/>
        <v>Home</v>
      </c>
      <c r="H636" t="str">
        <f ca="1">IF(E636+最终结果!$G$8&gt;simulation!F636,"W","L")</f>
        <v>L</v>
      </c>
      <c r="I636" t="str">
        <f ca="1">IF(F636+最终结果!$G$12&gt;simulation!E636,"W","L")</f>
        <v>W</v>
      </c>
      <c r="J636" t="str">
        <f ca="1">IF((E636+F636)&gt;最终结果!$H$8,"Over","Under")</f>
        <v>Under</v>
      </c>
    </row>
    <row r="637" spans="3:10" x14ac:dyDescent="0.25">
      <c r="C637">
        <v>636</v>
      </c>
      <c r="D637" t="str">
        <f t="shared" ca="1" si="19"/>
        <v>-1</v>
      </c>
      <c r="E637">
        <f ca="1">ROUND(NORMINV(RAND(),最终结果!$I$8,最终结果!$E$8),0)</f>
        <v>119</v>
      </c>
      <c r="F637">
        <f ca="1">ROUND(NORMINV(RAND(),最终结果!$I$12,最终结果!$E$12),0)</f>
        <v>135</v>
      </c>
      <c r="G637" t="str">
        <f t="shared" ca="1" si="20"/>
        <v>Home</v>
      </c>
      <c r="H637" t="str">
        <f ca="1">IF(E637+最终结果!$G$8&gt;simulation!F637,"W","L")</f>
        <v>L</v>
      </c>
      <c r="I637" t="str">
        <f ca="1">IF(F637+最终结果!$G$12&gt;simulation!E637,"W","L")</f>
        <v>W</v>
      </c>
      <c r="J637" t="str">
        <f ca="1">IF((E637+F637)&gt;最终结果!$H$8,"Over","Under")</f>
        <v>Over</v>
      </c>
    </row>
    <row r="638" spans="3:10" x14ac:dyDescent="0.25">
      <c r="C638">
        <v>637</v>
      </c>
      <c r="D638" t="str">
        <f t="shared" ca="1" si="19"/>
        <v>-1</v>
      </c>
      <c r="E638">
        <f ca="1">ROUND(NORMINV(RAND(),最终结果!$I$8,最终结果!$E$8),0)</f>
        <v>116</v>
      </c>
      <c r="F638">
        <f ca="1">ROUND(NORMINV(RAND(),最终结果!$I$12,最终结果!$E$12),0)</f>
        <v>120</v>
      </c>
      <c r="G638" t="str">
        <f t="shared" ca="1" si="20"/>
        <v>Home</v>
      </c>
      <c r="H638" t="str">
        <f ca="1">IF(E638+最终结果!$G$8&gt;simulation!F638,"W","L")</f>
        <v>L</v>
      </c>
      <c r="I638" t="str">
        <f ca="1">IF(F638+最终结果!$G$12&gt;simulation!E638,"W","L")</f>
        <v>W</v>
      </c>
      <c r="J638" t="str">
        <f ca="1">IF((E638+F638)&gt;最终结果!$H$8,"Over","Under")</f>
        <v>Under</v>
      </c>
    </row>
    <row r="639" spans="3:10" x14ac:dyDescent="0.25">
      <c r="C639">
        <v>638</v>
      </c>
      <c r="D639" t="str">
        <f t="shared" ca="1" si="19"/>
        <v>-1</v>
      </c>
      <c r="E639">
        <f ca="1">ROUND(NORMINV(RAND(),最终结果!$I$8,最终结果!$E$8),0)</f>
        <v>115</v>
      </c>
      <c r="F639">
        <f ca="1">ROUND(NORMINV(RAND(),最终结果!$I$12,最终结果!$E$12),0)</f>
        <v>136</v>
      </c>
      <c r="G639" t="str">
        <f t="shared" ca="1" si="20"/>
        <v>Home</v>
      </c>
      <c r="H639" t="str">
        <f ca="1">IF(E639+最终结果!$G$8&gt;simulation!F639,"W","L")</f>
        <v>L</v>
      </c>
      <c r="I639" t="str">
        <f ca="1">IF(F639+最终结果!$G$12&gt;simulation!E639,"W","L")</f>
        <v>W</v>
      </c>
      <c r="J639" t="str">
        <f ca="1">IF((E639+F639)&gt;最终结果!$H$8,"Over","Under")</f>
        <v>Over</v>
      </c>
    </row>
    <row r="640" spans="3:10" x14ac:dyDescent="0.25">
      <c r="C640">
        <v>639</v>
      </c>
      <c r="D640" t="str">
        <f t="shared" ca="1" si="19"/>
        <v>-1</v>
      </c>
      <c r="E640">
        <f ca="1">ROUND(NORMINV(RAND(),最终结果!$I$8,最终结果!$E$8),0)</f>
        <v>114</v>
      </c>
      <c r="F640">
        <f ca="1">ROUND(NORMINV(RAND(),最终结果!$I$12,最终结果!$E$12),0)</f>
        <v>123</v>
      </c>
      <c r="G640" t="str">
        <f t="shared" ca="1" si="20"/>
        <v>Home</v>
      </c>
      <c r="H640" t="str">
        <f ca="1">IF(E640+最终结果!$G$8&gt;simulation!F640,"W","L")</f>
        <v>L</v>
      </c>
      <c r="I640" t="str">
        <f ca="1">IF(F640+最终结果!$G$12&gt;simulation!E640,"W","L")</f>
        <v>W</v>
      </c>
      <c r="J640" t="str">
        <f ca="1">IF((E640+F640)&gt;最终结果!$H$8,"Over","Under")</f>
        <v>Under</v>
      </c>
    </row>
    <row r="641" spans="3:10" x14ac:dyDescent="0.25">
      <c r="C641">
        <v>640</v>
      </c>
      <c r="D641" t="str">
        <f t="shared" ca="1" si="19"/>
        <v>1</v>
      </c>
      <c r="E641">
        <f ca="1">ROUND(NORMINV(RAND(),最终结果!$I$8,最终结果!$E$8),0)</f>
        <v>131</v>
      </c>
      <c r="F641">
        <f ca="1">ROUND(NORMINV(RAND(),最终结果!$I$12,最终结果!$E$12),0)</f>
        <v>127</v>
      </c>
      <c r="G641" t="str">
        <f t="shared" ca="1" si="20"/>
        <v>Away</v>
      </c>
      <c r="H641" t="str">
        <f ca="1">IF(E641+最终结果!$G$8&gt;simulation!F641,"W","L")</f>
        <v>W</v>
      </c>
      <c r="I641" t="str">
        <f ca="1">IF(F641+最终结果!$G$12&gt;simulation!E641,"W","L")</f>
        <v>L</v>
      </c>
      <c r="J641" t="str">
        <f ca="1">IF((E641+F641)&gt;最终结果!$H$8,"Over","Under")</f>
        <v>Over</v>
      </c>
    </row>
    <row r="642" spans="3:10" x14ac:dyDescent="0.25">
      <c r="C642">
        <v>641</v>
      </c>
      <c r="D642" t="str">
        <f t="shared" ca="1" si="19"/>
        <v>-1</v>
      </c>
      <c r="E642">
        <f ca="1">ROUND(NORMINV(RAND(),最终结果!$I$8,最终结果!$E$8),0)</f>
        <v>112</v>
      </c>
      <c r="F642">
        <f ca="1">ROUND(NORMINV(RAND(),最终结果!$I$12,最终结果!$E$12),0)</f>
        <v>122</v>
      </c>
      <c r="G642" t="str">
        <f t="shared" ca="1" si="20"/>
        <v>Home</v>
      </c>
      <c r="H642" t="str">
        <f ca="1">IF(E642+最终结果!$G$8&gt;simulation!F642,"W","L")</f>
        <v>L</v>
      </c>
      <c r="I642" t="str">
        <f ca="1">IF(F642+最终结果!$G$12&gt;simulation!E642,"W","L")</f>
        <v>W</v>
      </c>
      <c r="J642" t="str">
        <f ca="1">IF((E642+F642)&gt;最终结果!$H$8,"Over","Under")</f>
        <v>Under</v>
      </c>
    </row>
    <row r="643" spans="3:10" x14ac:dyDescent="0.25">
      <c r="C643">
        <v>642</v>
      </c>
      <c r="D643" t="str">
        <f t="shared" ref="D643:D706" ca="1" si="21">IF(E643=F643,0,IF(E643&gt;F643,"1","-1"))</f>
        <v>1</v>
      </c>
      <c r="E643">
        <f ca="1">ROUND(NORMINV(RAND(),最终结果!$I$8,最终结果!$E$8),0)</f>
        <v>112</v>
      </c>
      <c r="F643">
        <f ca="1">ROUND(NORMINV(RAND(),最终结果!$I$12,最终结果!$E$12),0)</f>
        <v>100</v>
      </c>
      <c r="G643" t="str">
        <f t="shared" ca="1" si="20"/>
        <v>Away</v>
      </c>
      <c r="H643" t="str">
        <f ca="1">IF(E643+最终结果!$G$8&gt;simulation!F643,"W","L")</f>
        <v>W</v>
      </c>
      <c r="I643" t="str">
        <f ca="1">IF(F643+最终结果!$G$12&gt;simulation!E643,"W","L")</f>
        <v>L</v>
      </c>
      <c r="J643" t="str">
        <f ca="1">IF((E643+F643)&gt;最终结果!$H$8,"Over","Under")</f>
        <v>Under</v>
      </c>
    </row>
    <row r="644" spans="3:10" x14ac:dyDescent="0.25">
      <c r="C644">
        <v>643</v>
      </c>
      <c r="D644" t="str">
        <f t="shared" ca="1" si="21"/>
        <v>1</v>
      </c>
      <c r="E644">
        <f ca="1">ROUND(NORMINV(RAND(),最终结果!$I$8,最终结果!$E$8),0)</f>
        <v>117</v>
      </c>
      <c r="F644">
        <f ca="1">ROUND(NORMINV(RAND(),最终结果!$I$12,最终结果!$E$12),0)</f>
        <v>106</v>
      </c>
      <c r="G644" t="str">
        <f t="shared" ca="1" si="20"/>
        <v>Away</v>
      </c>
      <c r="H644" t="str">
        <f ca="1">IF(E644+最终结果!$G$8&gt;simulation!F644,"W","L")</f>
        <v>W</v>
      </c>
      <c r="I644" t="str">
        <f ca="1">IF(F644+最终结果!$G$12&gt;simulation!E644,"W","L")</f>
        <v>L</v>
      </c>
      <c r="J644" t="str">
        <f ca="1">IF((E644+F644)&gt;最终结果!$H$8,"Over","Under")</f>
        <v>Under</v>
      </c>
    </row>
    <row r="645" spans="3:10" x14ac:dyDescent="0.25">
      <c r="C645">
        <v>644</v>
      </c>
      <c r="D645" t="str">
        <f t="shared" ca="1" si="21"/>
        <v>-1</v>
      </c>
      <c r="E645">
        <f ca="1">ROUND(NORMINV(RAND(),最终结果!$I$8,最终结果!$E$8),0)</f>
        <v>96</v>
      </c>
      <c r="F645">
        <f ca="1">ROUND(NORMINV(RAND(),最终结果!$I$12,最终结果!$E$12),0)</f>
        <v>121</v>
      </c>
      <c r="G645" t="str">
        <f t="shared" ca="1" si="20"/>
        <v>Home</v>
      </c>
      <c r="H645" t="str">
        <f ca="1">IF(E645+最终结果!$G$8&gt;simulation!F645,"W","L")</f>
        <v>L</v>
      </c>
      <c r="I645" t="str">
        <f ca="1">IF(F645+最终结果!$G$12&gt;simulation!E645,"W","L")</f>
        <v>W</v>
      </c>
      <c r="J645" t="str">
        <f ca="1">IF((E645+F645)&gt;最终结果!$H$8,"Over","Under")</f>
        <v>Under</v>
      </c>
    </row>
    <row r="646" spans="3:10" x14ac:dyDescent="0.25">
      <c r="C646">
        <v>645</v>
      </c>
      <c r="D646" t="str">
        <f t="shared" ca="1" si="21"/>
        <v>-1</v>
      </c>
      <c r="E646">
        <f ca="1">ROUND(NORMINV(RAND(),最终结果!$I$8,最终结果!$E$8),0)</f>
        <v>106</v>
      </c>
      <c r="F646">
        <f ca="1">ROUND(NORMINV(RAND(),最终结果!$I$12,最终结果!$E$12),0)</f>
        <v>110</v>
      </c>
      <c r="G646" t="str">
        <f t="shared" ca="1" si="20"/>
        <v>Home</v>
      </c>
      <c r="H646" t="str">
        <f ca="1">IF(E646+最终结果!$G$8&gt;simulation!F646,"W","L")</f>
        <v>L</v>
      </c>
      <c r="I646" t="str">
        <f ca="1">IF(F646+最终结果!$G$12&gt;simulation!E646,"W","L")</f>
        <v>W</v>
      </c>
      <c r="J646" t="str">
        <f ca="1">IF((E646+F646)&gt;最终结果!$H$8,"Over","Under")</f>
        <v>Under</v>
      </c>
    </row>
    <row r="647" spans="3:10" x14ac:dyDescent="0.25">
      <c r="C647">
        <v>646</v>
      </c>
      <c r="D647" t="str">
        <f t="shared" ca="1" si="21"/>
        <v>-1</v>
      </c>
      <c r="E647">
        <f ca="1">ROUND(NORMINV(RAND(),最终结果!$I$8,最终结果!$E$8),0)</f>
        <v>103</v>
      </c>
      <c r="F647">
        <f ca="1">ROUND(NORMINV(RAND(),最终结果!$I$12,最终结果!$E$12),0)</f>
        <v>116</v>
      </c>
      <c r="G647" t="str">
        <f t="shared" ca="1" si="20"/>
        <v>Home</v>
      </c>
      <c r="H647" t="str">
        <f ca="1">IF(E647+最终结果!$G$8&gt;simulation!F647,"W","L")</f>
        <v>L</v>
      </c>
      <c r="I647" t="str">
        <f ca="1">IF(F647+最终结果!$G$12&gt;simulation!E647,"W","L")</f>
        <v>W</v>
      </c>
      <c r="J647" t="str">
        <f ca="1">IF((E647+F647)&gt;最终结果!$H$8,"Over","Under")</f>
        <v>Under</v>
      </c>
    </row>
    <row r="648" spans="3:10" x14ac:dyDescent="0.25">
      <c r="C648">
        <v>647</v>
      </c>
      <c r="D648" t="str">
        <f t="shared" ca="1" si="21"/>
        <v>1</v>
      </c>
      <c r="E648">
        <f ca="1">ROUND(NORMINV(RAND(),最终结果!$I$8,最终结果!$E$8),0)</f>
        <v>117</v>
      </c>
      <c r="F648">
        <f ca="1">ROUND(NORMINV(RAND(),最终结果!$I$12,最终结果!$E$12),0)</f>
        <v>105</v>
      </c>
      <c r="G648" t="str">
        <f t="shared" ca="1" si="20"/>
        <v>Away</v>
      </c>
      <c r="H648" t="str">
        <f ca="1">IF(E648+最终结果!$G$8&gt;simulation!F648,"W","L")</f>
        <v>W</v>
      </c>
      <c r="I648" t="str">
        <f ca="1">IF(F648+最终结果!$G$12&gt;simulation!E648,"W","L")</f>
        <v>L</v>
      </c>
      <c r="J648" t="str">
        <f ca="1">IF((E648+F648)&gt;最终结果!$H$8,"Over","Under")</f>
        <v>Under</v>
      </c>
    </row>
    <row r="649" spans="3:10" x14ac:dyDescent="0.25">
      <c r="C649">
        <v>648</v>
      </c>
      <c r="D649" t="str">
        <f t="shared" ca="1" si="21"/>
        <v>-1</v>
      </c>
      <c r="E649">
        <f ca="1">ROUND(NORMINV(RAND(),最终结果!$I$8,最终结果!$E$8),0)</f>
        <v>95</v>
      </c>
      <c r="F649">
        <f ca="1">ROUND(NORMINV(RAND(),最终结果!$I$12,最终结果!$E$12),0)</f>
        <v>109</v>
      </c>
      <c r="G649" t="str">
        <f t="shared" ca="1" si="20"/>
        <v>Home</v>
      </c>
      <c r="H649" t="str">
        <f ca="1">IF(E649+最终结果!$G$8&gt;simulation!F649,"W","L")</f>
        <v>L</v>
      </c>
      <c r="I649" t="str">
        <f ca="1">IF(F649+最终结果!$G$12&gt;simulation!E649,"W","L")</f>
        <v>W</v>
      </c>
      <c r="J649" t="str">
        <f ca="1">IF((E649+F649)&gt;最终结果!$H$8,"Over","Under")</f>
        <v>Under</v>
      </c>
    </row>
    <row r="650" spans="3:10" x14ac:dyDescent="0.25">
      <c r="C650">
        <v>649</v>
      </c>
      <c r="D650" t="str">
        <f t="shared" ca="1" si="21"/>
        <v>1</v>
      </c>
      <c r="E650">
        <f ca="1">ROUND(NORMINV(RAND(),最终结果!$I$8,最终结果!$E$8),0)</f>
        <v>118</v>
      </c>
      <c r="F650">
        <f ca="1">ROUND(NORMINV(RAND(),最终结果!$I$12,最终结果!$E$12),0)</f>
        <v>101</v>
      </c>
      <c r="G650" t="str">
        <f t="shared" ca="1" si="20"/>
        <v>Away</v>
      </c>
      <c r="H650" t="str">
        <f ca="1">IF(E650+最终结果!$G$8&gt;simulation!F650,"W","L")</f>
        <v>W</v>
      </c>
      <c r="I650" t="str">
        <f ca="1">IF(F650+最终结果!$G$12&gt;simulation!E650,"W","L")</f>
        <v>L</v>
      </c>
      <c r="J650" t="str">
        <f ca="1">IF((E650+F650)&gt;最终结果!$H$8,"Over","Under")</f>
        <v>Under</v>
      </c>
    </row>
    <row r="651" spans="3:10" x14ac:dyDescent="0.25">
      <c r="C651">
        <v>650</v>
      </c>
      <c r="D651" t="str">
        <f t="shared" ca="1" si="21"/>
        <v>1</v>
      </c>
      <c r="E651">
        <f ca="1">ROUND(NORMINV(RAND(),最终结果!$I$8,最终结果!$E$8),0)</f>
        <v>136</v>
      </c>
      <c r="F651">
        <f ca="1">ROUND(NORMINV(RAND(),最终结果!$I$12,最终结果!$E$12),0)</f>
        <v>125</v>
      </c>
      <c r="G651" t="str">
        <f t="shared" ca="1" si="20"/>
        <v>Away</v>
      </c>
      <c r="H651" t="str">
        <f ca="1">IF(E651+最终结果!$G$8&gt;simulation!F651,"W","L")</f>
        <v>W</v>
      </c>
      <c r="I651" t="str">
        <f ca="1">IF(F651+最终结果!$G$12&gt;simulation!E651,"W","L")</f>
        <v>L</v>
      </c>
      <c r="J651" t="str">
        <f ca="1">IF((E651+F651)&gt;最终结果!$H$8,"Over","Under")</f>
        <v>Over</v>
      </c>
    </row>
    <row r="652" spans="3:10" x14ac:dyDescent="0.25">
      <c r="C652">
        <v>651</v>
      </c>
      <c r="D652" t="str">
        <f t="shared" ca="1" si="21"/>
        <v>1</v>
      </c>
      <c r="E652">
        <f ca="1">ROUND(NORMINV(RAND(),最终结果!$I$8,最终结果!$E$8),0)</f>
        <v>126</v>
      </c>
      <c r="F652">
        <f ca="1">ROUND(NORMINV(RAND(),最终结果!$I$12,最终结果!$E$12),0)</f>
        <v>111</v>
      </c>
      <c r="G652" t="str">
        <f t="shared" ca="1" si="20"/>
        <v>Away</v>
      </c>
      <c r="H652" t="str">
        <f ca="1">IF(E652+最终结果!$G$8&gt;simulation!F652,"W","L")</f>
        <v>W</v>
      </c>
      <c r="I652" t="str">
        <f ca="1">IF(F652+最终结果!$G$12&gt;simulation!E652,"W","L")</f>
        <v>L</v>
      </c>
      <c r="J652" t="str">
        <f ca="1">IF((E652+F652)&gt;最终结果!$H$8,"Over","Under")</f>
        <v>Under</v>
      </c>
    </row>
    <row r="653" spans="3:10" x14ac:dyDescent="0.25">
      <c r="C653">
        <v>652</v>
      </c>
      <c r="D653" t="str">
        <f t="shared" ca="1" si="21"/>
        <v>-1</v>
      </c>
      <c r="E653">
        <f ca="1">ROUND(NORMINV(RAND(),最终结果!$I$8,最终结果!$E$8),0)</f>
        <v>104</v>
      </c>
      <c r="F653">
        <f ca="1">ROUND(NORMINV(RAND(),最终结果!$I$12,最终结果!$E$12),0)</f>
        <v>125</v>
      </c>
      <c r="G653" t="str">
        <f t="shared" ca="1" si="20"/>
        <v>Home</v>
      </c>
      <c r="H653" t="str">
        <f ca="1">IF(E653+最终结果!$G$8&gt;simulation!F653,"W","L")</f>
        <v>L</v>
      </c>
      <c r="I653" t="str">
        <f ca="1">IF(F653+最终结果!$G$12&gt;simulation!E653,"W","L")</f>
        <v>W</v>
      </c>
      <c r="J653" t="str">
        <f ca="1">IF((E653+F653)&gt;最终结果!$H$8,"Over","Under")</f>
        <v>Under</v>
      </c>
    </row>
    <row r="654" spans="3:10" x14ac:dyDescent="0.25">
      <c r="C654">
        <v>653</v>
      </c>
      <c r="D654" t="str">
        <f t="shared" ca="1" si="21"/>
        <v>1</v>
      </c>
      <c r="E654">
        <f ca="1">ROUND(NORMINV(RAND(),最终结果!$I$8,最终结果!$E$8),0)</f>
        <v>113</v>
      </c>
      <c r="F654">
        <f ca="1">ROUND(NORMINV(RAND(),最终结果!$I$12,最终结果!$E$12),0)</f>
        <v>102</v>
      </c>
      <c r="G654" t="str">
        <f t="shared" ref="G654:G717" ca="1" si="22">IF(E654=F654,"OT",IF(E654&gt;F654,"Away","Home"))</f>
        <v>Away</v>
      </c>
      <c r="H654" t="str">
        <f ca="1">IF(E654+最终结果!$G$8&gt;simulation!F654,"W","L")</f>
        <v>W</v>
      </c>
      <c r="I654" t="str">
        <f ca="1">IF(F654+最终结果!$G$12&gt;simulation!E654,"W","L")</f>
        <v>L</v>
      </c>
      <c r="J654" t="str">
        <f ca="1">IF((E654+F654)&gt;最终结果!$H$8,"Over","Under")</f>
        <v>Under</v>
      </c>
    </row>
    <row r="655" spans="3:10" x14ac:dyDescent="0.25">
      <c r="C655">
        <v>654</v>
      </c>
      <c r="D655" t="str">
        <f t="shared" ca="1" si="21"/>
        <v>1</v>
      </c>
      <c r="E655">
        <f ca="1">ROUND(NORMINV(RAND(),最终结果!$I$8,最终结果!$E$8),0)</f>
        <v>127</v>
      </c>
      <c r="F655">
        <f ca="1">ROUND(NORMINV(RAND(),最终结果!$I$12,最终结果!$E$12),0)</f>
        <v>79</v>
      </c>
      <c r="G655" t="str">
        <f t="shared" ca="1" si="22"/>
        <v>Away</v>
      </c>
      <c r="H655" t="str">
        <f ca="1">IF(E655+最终结果!$G$8&gt;simulation!F655,"W","L")</f>
        <v>W</v>
      </c>
      <c r="I655" t="str">
        <f ca="1">IF(F655+最终结果!$G$12&gt;simulation!E655,"W","L")</f>
        <v>L</v>
      </c>
      <c r="J655" t="str">
        <f ca="1">IF((E655+F655)&gt;最终结果!$H$8,"Over","Under")</f>
        <v>Under</v>
      </c>
    </row>
    <row r="656" spans="3:10" x14ac:dyDescent="0.25">
      <c r="C656">
        <v>655</v>
      </c>
      <c r="D656" t="str">
        <f t="shared" ca="1" si="21"/>
        <v>-1</v>
      </c>
      <c r="E656">
        <f ca="1">ROUND(NORMINV(RAND(),最终结果!$I$8,最终结果!$E$8),0)</f>
        <v>77</v>
      </c>
      <c r="F656">
        <f ca="1">ROUND(NORMINV(RAND(),最终结果!$I$12,最终结果!$E$12),0)</f>
        <v>121</v>
      </c>
      <c r="G656" t="str">
        <f t="shared" ca="1" si="22"/>
        <v>Home</v>
      </c>
      <c r="H656" t="str">
        <f ca="1">IF(E656+最终结果!$G$8&gt;simulation!F656,"W","L")</f>
        <v>L</v>
      </c>
      <c r="I656" t="str">
        <f ca="1">IF(F656+最终结果!$G$12&gt;simulation!E656,"W","L")</f>
        <v>W</v>
      </c>
      <c r="J656" t="str">
        <f ca="1">IF((E656+F656)&gt;最终结果!$H$8,"Over","Under")</f>
        <v>Under</v>
      </c>
    </row>
    <row r="657" spans="3:10" x14ac:dyDescent="0.25">
      <c r="C657">
        <v>656</v>
      </c>
      <c r="D657" t="str">
        <f t="shared" ca="1" si="21"/>
        <v>-1</v>
      </c>
      <c r="E657">
        <f ca="1">ROUND(NORMINV(RAND(),最终结果!$I$8,最终结果!$E$8),0)</f>
        <v>119</v>
      </c>
      <c r="F657">
        <f ca="1">ROUND(NORMINV(RAND(),最终结果!$I$12,最终结果!$E$12),0)</f>
        <v>125</v>
      </c>
      <c r="G657" t="str">
        <f t="shared" ca="1" si="22"/>
        <v>Home</v>
      </c>
      <c r="H657" t="str">
        <f ca="1">IF(E657+最终结果!$G$8&gt;simulation!F657,"W","L")</f>
        <v>L</v>
      </c>
      <c r="I657" t="str">
        <f ca="1">IF(F657+最终结果!$G$12&gt;simulation!E657,"W","L")</f>
        <v>W</v>
      </c>
      <c r="J657" t="str">
        <f ca="1">IF((E657+F657)&gt;最终结果!$H$8,"Over","Under")</f>
        <v>Over</v>
      </c>
    </row>
    <row r="658" spans="3:10" x14ac:dyDescent="0.25">
      <c r="C658">
        <v>657</v>
      </c>
      <c r="D658" t="str">
        <f t="shared" ca="1" si="21"/>
        <v>1</v>
      </c>
      <c r="E658">
        <f ca="1">ROUND(NORMINV(RAND(),最终结果!$I$8,最终结果!$E$8),0)</f>
        <v>124</v>
      </c>
      <c r="F658">
        <f ca="1">ROUND(NORMINV(RAND(),最终结果!$I$12,最终结果!$E$12),0)</f>
        <v>123</v>
      </c>
      <c r="G658" t="str">
        <f t="shared" ca="1" si="22"/>
        <v>Away</v>
      </c>
      <c r="H658" t="str">
        <f ca="1">IF(E658+最终结果!$G$8&gt;simulation!F658,"W","L")</f>
        <v>W</v>
      </c>
      <c r="I658" t="str">
        <f ca="1">IF(F658+最终结果!$G$12&gt;simulation!E658,"W","L")</f>
        <v>L</v>
      </c>
      <c r="J658" t="str">
        <f ca="1">IF((E658+F658)&gt;最终结果!$H$8,"Over","Under")</f>
        <v>Over</v>
      </c>
    </row>
    <row r="659" spans="3:10" x14ac:dyDescent="0.25">
      <c r="C659">
        <v>658</v>
      </c>
      <c r="D659" t="str">
        <f t="shared" ca="1" si="21"/>
        <v>-1</v>
      </c>
      <c r="E659">
        <f ca="1">ROUND(NORMINV(RAND(),最终结果!$I$8,最终结果!$E$8),0)</f>
        <v>121</v>
      </c>
      <c r="F659">
        <f ca="1">ROUND(NORMINV(RAND(),最终结果!$I$12,最终结果!$E$12),0)</f>
        <v>134</v>
      </c>
      <c r="G659" t="str">
        <f t="shared" ca="1" si="22"/>
        <v>Home</v>
      </c>
      <c r="H659" t="str">
        <f ca="1">IF(E659+最终结果!$G$8&gt;simulation!F659,"W","L")</f>
        <v>L</v>
      </c>
      <c r="I659" t="str">
        <f ca="1">IF(F659+最终结果!$G$12&gt;simulation!E659,"W","L")</f>
        <v>W</v>
      </c>
      <c r="J659" t="str">
        <f ca="1">IF((E659+F659)&gt;最终结果!$H$8,"Over","Under")</f>
        <v>Over</v>
      </c>
    </row>
    <row r="660" spans="3:10" x14ac:dyDescent="0.25">
      <c r="C660">
        <v>659</v>
      </c>
      <c r="D660" t="str">
        <f t="shared" ca="1" si="21"/>
        <v>-1</v>
      </c>
      <c r="E660">
        <f ca="1">ROUND(NORMINV(RAND(),最终结果!$I$8,最终结果!$E$8),0)</f>
        <v>118</v>
      </c>
      <c r="F660">
        <f ca="1">ROUND(NORMINV(RAND(),最终结果!$I$12,最终结果!$E$12),0)</f>
        <v>129</v>
      </c>
      <c r="G660" t="str">
        <f t="shared" ca="1" si="22"/>
        <v>Home</v>
      </c>
      <c r="H660" t="str">
        <f ca="1">IF(E660+最终结果!$G$8&gt;simulation!F660,"W","L")</f>
        <v>L</v>
      </c>
      <c r="I660" t="str">
        <f ca="1">IF(F660+最终结果!$G$12&gt;simulation!E660,"W","L")</f>
        <v>W</v>
      </c>
      <c r="J660" t="str">
        <f ca="1">IF((E660+F660)&gt;最终结果!$H$8,"Over","Under")</f>
        <v>Over</v>
      </c>
    </row>
    <row r="661" spans="3:10" x14ac:dyDescent="0.25">
      <c r="C661">
        <v>660</v>
      </c>
      <c r="D661" t="str">
        <f t="shared" ca="1" si="21"/>
        <v>-1</v>
      </c>
      <c r="E661">
        <f ca="1">ROUND(NORMINV(RAND(),最终结果!$I$8,最终结果!$E$8),0)</f>
        <v>120</v>
      </c>
      <c r="F661">
        <f ca="1">ROUND(NORMINV(RAND(),最终结果!$I$12,最终结果!$E$12),0)</f>
        <v>126</v>
      </c>
      <c r="G661" t="str">
        <f t="shared" ca="1" si="22"/>
        <v>Home</v>
      </c>
      <c r="H661" t="str">
        <f ca="1">IF(E661+最终结果!$G$8&gt;simulation!F661,"W","L")</f>
        <v>L</v>
      </c>
      <c r="I661" t="str">
        <f ca="1">IF(F661+最终结果!$G$12&gt;simulation!E661,"W","L")</f>
        <v>W</v>
      </c>
      <c r="J661" t="str">
        <f ca="1">IF((E661+F661)&gt;最终结果!$H$8,"Over","Under")</f>
        <v>Over</v>
      </c>
    </row>
    <row r="662" spans="3:10" x14ac:dyDescent="0.25">
      <c r="C662">
        <v>661</v>
      </c>
      <c r="D662" t="str">
        <f t="shared" ca="1" si="21"/>
        <v>-1</v>
      </c>
      <c r="E662">
        <f ca="1">ROUND(NORMINV(RAND(),最终结果!$I$8,最终结果!$E$8),0)</f>
        <v>96</v>
      </c>
      <c r="F662">
        <f ca="1">ROUND(NORMINV(RAND(),最终结果!$I$12,最终结果!$E$12),0)</f>
        <v>97</v>
      </c>
      <c r="G662" t="str">
        <f t="shared" ca="1" si="22"/>
        <v>Home</v>
      </c>
      <c r="H662" t="str">
        <f ca="1">IF(E662+最终结果!$G$8&gt;simulation!F662,"W","L")</f>
        <v>W</v>
      </c>
      <c r="I662" t="str">
        <f ca="1">IF(F662+最终结果!$G$12&gt;simulation!E662,"W","L")</f>
        <v>L</v>
      </c>
      <c r="J662" t="str">
        <f ca="1">IF((E662+F662)&gt;最终结果!$H$8,"Over","Under")</f>
        <v>Under</v>
      </c>
    </row>
    <row r="663" spans="3:10" x14ac:dyDescent="0.25">
      <c r="C663">
        <v>662</v>
      </c>
      <c r="D663" t="str">
        <f t="shared" ca="1" si="21"/>
        <v>1</v>
      </c>
      <c r="E663">
        <f ca="1">ROUND(NORMINV(RAND(),最终结果!$I$8,最终结果!$E$8),0)</f>
        <v>132</v>
      </c>
      <c r="F663">
        <f ca="1">ROUND(NORMINV(RAND(),最终结果!$I$12,最终结果!$E$12),0)</f>
        <v>120</v>
      </c>
      <c r="G663" t="str">
        <f t="shared" ca="1" si="22"/>
        <v>Away</v>
      </c>
      <c r="H663" t="str">
        <f ca="1">IF(E663+最终结果!$G$8&gt;simulation!F663,"W","L")</f>
        <v>W</v>
      </c>
      <c r="I663" t="str">
        <f ca="1">IF(F663+最终结果!$G$12&gt;simulation!E663,"W","L")</f>
        <v>L</v>
      </c>
      <c r="J663" t="str">
        <f ca="1">IF((E663+F663)&gt;最终结果!$H$8,"Over","Under")</f>
        <v>Over</v>
      </c>
    </row>
    <row r="664" spans="3:10" x14ac:dyDescent="0.25">
      <c r="C664">
        <v>663</v>
      </c>
      <c r="D664" t="str">
        <f t="shared" ca="1" si="21"/>
        <v>1</v>
      </c>
      <c r="E664">
        <f ca="1">ROUND(NORMINV(RAND(),最终结果!$I$8,最终结果!$E$8),0)</f>
        <v>98</v>
      </c>
      <c r="F664">
        <f ca="1">ROUND(NORMINV(RAND(),最终结果!$I$12,最终结果!$E$12),0)</f>
        <v>94</v>
      </c>
      <c r="G664" t="str">
        <f t="shared" ca="1" si="22"/>
        <v>Away</v>
      </c>
      <c r="H664" t="str">
        <f ca="1">IF(E664+最终结果!$G$8&gt;simulation!F664,"W","L")</f>
        <v>W</v>
      </c>
      <c r="I664" t="str">
        <f ca="1">IF(F664+最终结果!$G$12&gt;simulation!E664,"W","L")</f>
        <v>L</v>
      </c>
      <c r="J664" t="str">
        <f ca="1">IF((E664+F664)&gt;最终结果!$H$8,"Over","Under")</f>
        <v>Under</v>
      </c>
    </row>
    <row r="665" spans="3:10" x14ac:dyDescent="0.25">
      <c r="C665">
        <v>664</v>
      </c>
      <c r="D665" t="str">
        <f t="shared" ca="1" si="21"/>
        <v>-1</v>
      </c>
      <c r="E665">
        <f ca="1">ROUND(NORMINV(RAND(),最终结果!$I$8,最终结果!$E$8),0)</f>
        <v>101</v>
      </c>
      <c r="F665">
        <f ca="1">ROUND(NORMINV(RAND(),最终结果!$I$12,最终结果!$E$12),0)</f>
        <v>122</v>
      </c>
      <c r="G665" t="str">
        <f t="shared" ca="1" si="22"/>
        <v>Home</v>
      </c>
      <c r="H665" t="str">
        <f ca="1">IF(E665+最终结果!$G$8&gt;simulation!F665,"W","L")</f>
        <v>L</v>
      </c>
      <c r="I665" t="str">
        <f ca="1">IF(F665+最终结果!$G$12&gt;simulation!E665,"W","L")</f>
        <v>W</v>
      </c>
      <c r="J665" t="str">
        <f ca="1">IF((E665+F665)&gt;最终结果!$H$8,"Over","Under")</f>
        <v>Under</v>
      </c>
    </row>
    <row r="666" spans="3:10" x14ac:dyDescent="0.25">
      <c r="C666">
        <v>665</v>
      </c>
      <c r="D666" t="str">
        <f t="shared" ca="1" si="21"/>
        <v>-1</v>
      </c>
      <c r="E666">
        <f ca="1">ROUND(NORMINV(RAND(),最终结果!$I$8,最终结果!$E$8),0)</f>
        <v>95</v>
      </c>
      <c r="F666">
        <f ca="1">ROUND(NORMINV(RAND(),最终结果!$I$12,最终结果!$E$12),0)</f>
        <v>114</v>
      </c>
      <c r="G666" t="str">
        <f t="shared" ca="1" si="22"/>
        <v>Home</v>
      </c>
      <c r="H666" t="str">
        <f ca="1">IF(E666+最终结果!$G$8&gt;simulation!F666,"W","L")</f>
        <v>L</v>
      </c>
      <c r="I666" t="str">
        <f ca="1">IF(F666+最终结果!$G$12&gt;simulation!E666,"W","L")</f>
        <v>W</v>
      </c>
      <c r="J666" t="str">
        <f ca="1">IF((E666+F666)&gt;最终结果!$H$8,"Over","Under")</f>
        <v>Under</v>
      </c>
    </row>
    <row r="667" spans="3:10" x14ac:dyDescent="0.25">
      <c r="C667">
        <v>666</v>
      </c>
      <c r="D667" t="str">
        <f t="shared" ca="1" si="21"/>
        <v>-1</v>
      </c>
      <c r="E667">
        <f ca="1">ROUND(NORMINV(RAND(),最终结果!$I$8,最终结果!$E$8),0)</f>
        <v>111</v>
      </c>
      <c r="F667">
        <f ca="1">ROUND(NORMINV(RAND(),最终结果!$I$12,最终结果!$E$12),0)</f>
        <v>123</v>
      </c>
      <c r="G667" t="str">
        <f t="shared" ca="1" si="22"/>
        <v>Home</v>
      </c>
      <c r="H667" t="str">
        <f ca="1">IF(E667+最终结果!$G$8&gt;simulation!F667,"W","L")</f>
        <v>L</v>
      </c>
      <c r="I667" t="str">
        <f ca="1">IF(F667+最终结果!$G$12&gt;simulation!E667,"W","L")</f>
        <v>W</v>
      </c>
      <c r="J667" t="str">
        <f ca="1">IF((E667+F667)&gt;最终结果!$H$8,"Over","Under")</f>
        <v>Under</v>
      </c>
    </row>
    <row r="668" spans="3:10" x14ac:dyDescent="0.25">
      <c r="C668">
        <v>667</v>
      </c>
      <c r="D668" t="str">
        <f t="shared" ca="1" si="21"/>
        <v>-1</v>
      </c>
      <c r="E668">
        <f ca="1">ROUND(NORMINV(RAND(),最终结果!$I$8,最终结果!$E$8),0)</f>
        <v>102</v>
      </c>
      <c r="F668">
        <f ca="1">ROUND(NORMINV(RAND(),最终结果!$I$12,最终结果!$E$12),0)</f>
        <v>123</v>
      </c>
      <c r="G668" t="str">
        <f t="shared" ca="1" si="22"/>
        <v>Home</v>
      </c>
      <c r="H668" t="str">
        <f ca="1">IF(E668+最终结果!$G$8&gt;simulation!F668,"W","L")</f>
        <v>L</v>
      </c>
      <c r="I668" t="str">
        <f ca="1">IF(F668+最终结果!$G$12&gt;simulation!E668,"W","L")</f>
        <v>W</v>
      </c>
      <c r="J668" t="str">
        <f ca="1">IF((E668+F668)&gt;最终结果!$H$8,"Over","Under")</f>
        <v>Under</v>
      </c>
    </row>
    <row r="669" spans="3:10" x14ac:dyDescent="0.25">
      <c r="C669">
        <v>668</v>
      </c>
      <c r="D669" t="str">
        <f t="shared" ca="1" si="21"/>
        <v>1</v>
      </c>
      <c r="E669">
        <f ca="1">ROUND(NORMINV(RAND(),最终结果!$I$8,最终结果!$E$8),0)</f>
        <v>128</v>
      </c>
      <c r="F669">
        <f ca="1">ROUND(NORMINV(RAND(),最终结果!$I$12,最终结果!$E$12),0)</f>
        <v>110</v>
      </c>
      <c r="G669" t="str">
        <f t="shared" ca="1" si="22"/>
        <v>Away</v>
      </c>
      <c r="H669" t="str">
        <f ca="1">IF(E669+最终结果!$G$8&gt;simulation!F669,"W","L")</f>
        <v>W</v>
      </c>
      <c r="I669" t="str">
        <f ca="1">IF(F669+最终结果!$G$12&gt;simulation!E669,"W","L")</f>
        <v>L</v>
      </c>
      <c r="J669" t="str">
        <f ca="1">IF((E669+F669)&gt;最终结果!$H$8,"Over","Under")</f>
        <v>Over</v>
      </c>
    </row>
    <row r="670" spans="3:10" x14ac:dyDescent="0.25">
      <c r="C670">
        <v>669</v>
      </c>
      <c r="D670" t="str">
        <f t="shared" ca="1" si="21"/>
        <v>1</v>
      </c>
      <c r="E670">
        <f ca="1">ROUND(NORMINV(RAND(),最终结果!$I$8,最终结果!$E$8),0)</f>
        <v>145</v>
      </c>
      <c r="F670">
        <f ca="1">ROUND(NORMINV(RAND(),最终结果!$I$12,最终结果!$E$12),0)</f>
        <v>112</v>
      </c>
      <c r="G670" t="str">
        <f t="shared" ca="1" si="22"/>
        <v>Away</v>
      </c>
      <c r="H670" t="str">
        <f ca="1">IF(E670+最终结果!$G$8&gt;simulation!F670,"W","L")</f>
        <v>W</v>
      </c>
      <c r="I670" t="str">
        <f ca="1">IF(F670+最终结果!$G$12&gt;simulation!E670,"W","L")</f>
        <v>L</v>
      </c>
      <c r="J670" t="str">
        <f ca="1">IF((E670+F670)&gt;最终结果!$H$8,"Over","Under")</f>
        <v>Over</v>
      </c>
    </row>
    <row r="671" spans="3:10" x14ac:dyDescent="0.25">
      <c r="C671">
        <v>670</v>
      </c>
      <c r="D671" t="str">
        <f t="shared" ca="1" si="21"/>
        <v>1</v>
      </c>
      <c r="E671">
        <f ca="1">ROUND(NORMINV(RAND(),最终结果!$I$8,最终结果!$E$8),0)</f>
        <v>113</v>
      </c>
      <c r="F671">
        <f ca="1">ROUND(NORMINV(RAND(),最终结果!$I$12,最终结果!$E$12),0)</f>
        <v>107</v>
      </c>
      <c r="G671" t="str">
        <f t="shared" ca="1" si="22"/>
        <v>Away</v>
      </c>
      <c r="H671" t="str">
        <f ca="1">IF(E671+最终结果!$G$8&gt;simulation!F671,"W","L")</f>
        <v>W</v>
      </c>
      <c r="I671" t="str">
        <f ca="1">IF(F671+最终结果!$G$12&gt;simulation!E671,"W","L")</f>
        <v>L</v>
      </c>
      <c r="J671" t="str">
        <f ca="1">IF((E671+F671)&gt;最终结果!$H$8,"Over","Under")</f>
        <v>Under</v>
      </c>
    </row>
    <row r="672" spans="3:10" x14ac:dyDescent="0.25">
      <c r="C672">
        <v>671</v>
      </c>
      <c r="D672" t="str">
        <f t="shared" ca="1" si="21"/>
        <v>1</v>
      </c>
      <c r="E672">
        <f ca="1">ROUND(NORMINV(RAND(),最终结果!$I$8,最终结果!$E$8),0)</f>
        <v>118</v>
      </c>
      <c r="F672">
        <f ca="1">ROUND(NORMINV(RAND(),最终结果!$I$12,最终结果!$E$12),0)</f>
        <v>113</v>
      </c>
      <c r="G672" t="str">
        <f t="shared" ca="1" si="22"/>
        <v>Away</v>
      </c>
      <c r="H672" t="str">
        <f ca="1">IF(E672+最终结果!$G$8&gt;simulation!F672,"W","L")</f>
        <v>W</v>
      </c>
      <c r="I672" t="str">
        <f ca="1">IF(F672+最终结果!$G$12&gt;simulation!E672,"W","L")</f>
        <v>L</v>
      </c>
      <c r="J672" t="str">
        <f ca="1">IF((E672+F672)&gt;最终结果!$H$8,"Over","Under")</f>
        <v>Under</v>
      </c>
    </row>
    <row r="673" spans="3:10" x14ac:dyDescent="0.25">
      <c r="C673">
        <v>672</v>
      </c>
      <c r="D673" t="str">
        <f t="shared" ca="1" si="21"/>
        <v>1</v>
      </c>
      <c r="E673">
        <f ca="1">ROUND(NORMINV(RAND(),最终结果!$I$8,最终结果!$E$8),0)</f>
        <v>113</v>
      </c>
      <c r="F673">
        <f ca="1">ROUND(NORMINV(RAND(),最终结果!$I$12,最终结果!$E$12),0)</f>
        <v>109</v>
      </c>
      <c r="G673" t="str">
        <f t="shared" ca="1" si="22"/>
        <v>Away</v>
      </c>
      <c r="H673" t="str">
        <f ca="1">IF(E673+最终结果!$G$8&gt;simulation!F673,"W","L")</f>
        <v>W</v>
      </c>
      <c r="I673" t="str">
        <f ca="1">IF(F673+最终结果!$G$12&gt;simulation!E673,"W","L")</f>
        <v>L</v>
      </c>
      <c r="J673" t="str">
        <f ca="1">IF((E673+F673)&gt;最终结果!$H$8,"Over","Under")</f>
        <v>Under</v>
      </c>
    </row>
    <row r="674" spans="3:10" x14ac:dyDescent="0.25">
      <c r="C674">
        <v>673</v>
      </c>
      <c r="D674" t="str">
        <f t="shared" ca="1" si="21"/>
        <v>-1</v>
      </c>
      <c r="E674">
        <f ca="1">ROUND(NORMINV(RAND(),最终结果!$I$8,最终结果!$E$8),0)</f>
        <v>119</v>
      </c>
      <c r="F674">
        <f ca="1">ROUND(NORMINV(RAND(),最终结果!$I$12,最终结果!$E$12),0)</f>
        <v>125</v>
      </c>
      <c r="G674" t="str">
        <f t="shared" ca="1" si="22"/>
        <v>Home</v>
      </c>
      <c r="H674" t="str">
        <f ca="1">IF(E674+最终结果!$G$8&gt;simulation!F674,"W","L")</f>
        <v>L</v>
      </c>
      <c r="I674" t="str">
        <f ca="1">IF(F674+最终结果!$G$12&gt;simulation!E674,"W","L")</f>
        <v>W</v>
      </c>
      <c r="J674" t="str">
        <f ca="1">IF((E674+F674)&gt;最终结果!$H$8,"Over","Under")</f>
        <v>Over</v>
      </c>
    </row>
    <row r="675" spans="3:10" x14ac:dyDescent="0.25">
      <c r="C675">
        <v>674</v>
      </c>
      <c r="D675" t="str">
        <f t="shared" ca="1" si="21"/>
        <v>-1</v>
      </c>
      <c r="E675">
        <f ca="1">ROUND(NORMINV(RAND(),最终结果!$I$8,最终结果!$E$8),0)</f>
        <v>107</v>
      </c>
      <c r="F675">
        <f ca="1">ROUND(NORMINV(RAND(),最终结果!$I$12,最终结果!$E$12),0)</f>
        <v>115</v>
      </c>
      <c r="G675" t="str">
        <f t="shared" ca="1" si="22"/>
        <v>Home</v>
      </c>
      <c r="H675" t="str">
        <f ca="1">IF(E675+最终结果!$G$8&gt;simulation!F675,"W","L")</f>
        <v>L</v>
      </c>
      <c r="I675" t="str">
        <f ca="1">IF(F675+最终结果!$G$12&gt;simulation!E675,"W","L")</f>
        <v>W</v>
      </c>
      <c r="J675" t="str">
        <f ca="1">IF((E675+F675)&gt;最终结果!$H$8,"Over","Under")</f>
        <v>Under</v>
      </c>
    </row>
    <row r="676" spans="3:10" x14ac:dyDescent="0.25">
      <c r="C676">
        <v>675</v>
      </c>
      <c r="D676" t="str">
        <f t="shared" ca="1" si="21"/>
        <v>-1</v>
      </c>
      <c r="E676">
        <f ca="1">ROUND(NORMINV(RAND(),最终结果!$I$8,最终结果!$E$8),0)</f>
        <v>89</v>
      </c>
      <c r="F676">
        <f ca="1">ROUND(NORMINV(RAND(),最终结果!$I$12,最终结果!$E$12),0)</f>
        <v>115</v>
      </c>
      <c r="G676" t="str">
        <f t="shared" ca="1" si="22"/>
        <v>Home</v>
      </c>
      <c r="H676" t="str">
        <f ca="1">IF(E676+最终结果!$G$8&gt;simulation!F676,"W","L")</f>
        <v>L</v>
      </c>
      <c r="I676" t="str">
        <f ca="1">IF(F676+最终结果!$G$12&gt;simulation!E676,"W","L")</f>
        <v>W</v>
      </c>
      <c r="J676" t="str">
        <f ca="1">IF((E676+F676)&gt;最终结果!$H$8,"Over","Under")</f>
        <v>Under</v>
      </c>
    </row>
    <row r="677" spans="3:10" x14ac:dyDescent="0.25">
      <c r="C677">
        <v>676</v>
      </c>
      <c r="D677" t="str">
        <f t="shared" ca="1" si="21"/>
        <v>-1</v>
      </c>
      <c r="E677">
        <f ca="1">ROUND(NORMINV(RAND(),最终结果!$I$8,最终结果!$E$8),0)</f>
        <v>97</v>
      </c>
      <c r="F677">
        <f ca="1">ROUND(NORMINV(RAND(),最终结果!$I$12,最终结果!$E$12),0)</f>
        <v>103</v>
      </c>
      <c r="G677" t="str">
        <f t="shared" ca="1" si="22"/>
        <v>Home</v>
      </c>
      <c r="H677" t="str">
        <f ca="1">IF(E677+最终结果!$G$8&gt;simulation!F677,"W","L")</f>
        <v>L</v>
      </c>
      <c r="I677" t="str">
        <f ca="1">IF(F677+最终结果!$G$12&gt;simulation!E677,"W","L")</f>
        <v>W</v>
      </c>
      <c r="J677" t="str">
        <f ca="1">IF((E677+F677)&gt;最终结果!$H$8,"Over","Under")</f>
        <v>Under</v>
      </c>
    </row>
    <row r="678" spans="3:10" x14ac:dyDescent="0.25">
      <c r="C678">
        <v>677</v>
      </c>
      <c r="D678" t="str">
        <f t="shared" ca="1" si="21"/>
        <v>-1</v>
      </c>
      <c r="E678">
        <f ca="1">ROUND(NORMINV(RAND(),最终结果!$I$8,最终结果!$E$8),0)</f>
        <v>98</v>
      </c>
      <c r="F678">
        <f ca="1">ROUND(NORMINV(RAND(),最终结果!$I$12,最终结果!$E$12),0)</f>
        <v>119</v>
      </c>
      <c r="G678" t="str">
        <f t="shared" ca="1" si="22"/>
        <v>Home</v>
      </c>
      <c r="H678" t="str">
        <f ca="1">IF(E678+最终结果!$G$8&gt;simulation!F678,"W","L")</f>
        <v>L</v>
      </c>
      <c r="I678" t="str">
        <f ca="1">IF(F678+最终结果!$G$12&gt;simulation!E678,"W","L")</f>
        <v>W</v>
      </c>
      <c r="J678" t="str">
        <f ca="1">IF((E678+F678)&gt;最终结果!$H$8,"Over","Under")</f>
        <v>Under</v>
      </c>
    </row>
    <row r="679" spans="3:10" x14ac:dyDescent="0.25">
      <c r="C679">
        <v>678</v>
      </c>
      <c r="D679" t="str">
        <f t="shared" ca="1" si="21"/>
        <v>1</v>
      </c>
      <c r="E679">
        <f ca="1">ROUND(NORMINV(RAND(),最终结果!$I$8,最终结果!$E$8),0)</f>
        <v>120</v>
      </c>
      <c r="F679">
        <f ca="1">ROUND(NORMINV(RAND(),最终结果!$I$12,最终结果!$E$12),0)</f>
        <v>109</v>
      </c>
      <c r="G679" t="str">
        <f t="shared" ca="1" si="22"/>
        <v>Away</v>
      </c>
      <c r="H679" t="str">
        <f ca="1">IF(E679+最终结果!$G$8&gt;simulation!F679,"W","L")</f>
        <v>W</v>
      </c>
      <c r="I679" t="str">
        <f ca="1">IF(F679+最终结果!$G$12&gt;simulation!E679,"W","L")</f>
        <v>L</v>
      </c>
      <c r="J679" t="str">
        <f ca="1">IF((E679+F679)&gt;最终结果!$H$8,"Over","Under")</f>
        <v>Under</v>
      </c>
    </row>
    <row r="680" spans="3:10" x14ac:dyDescent="0.25">
      <c r="C680">
        <v>679</v>
      </c>
      <c r="D680" t="str">
        <f t="shared" ca="1" si="21"/>
        <v>1</v>
      </c>
      <c r="E680">
        <f ca="1">ROUND(NORMINV(RAND(),最终结果!$I$8,最终结果!$E$8),0)</f>
        <v>125</v>
      </c>
      <c r="F680">
        <f ca="1">ROUND(NORMINV(RAND(),最终结果!$I$12,最终结果!$E$12),0)</f>
        <v>116</v>
      </c>
      <c r="G680" t="str">
        <f t="shared" ca="1" si="22"/>
        <v>Away</v>
      </c>
      <c r="H680" t="str">
        <f ca="1">IF(E680+最终结果!$G$8&gt;simulation!F680,"W","L")</f>
        <v>W</v>
      </c>
      <c r="I680" t="str">
        <f ca="1">IF(F680+最终结果!$G$12&gt;simulation!E680,"W","L")</f>
        <v>L</v>
      </c>
      <c r="J680" t="str">
        <f ca="1">IF((E680+F680)&gt;最终结果!$H$8,"Over","Under")</f>
        <v>Over</v>
      </c>
    </row>
    <row r="681" spans="3:10" x14ac:dyDescent="0.25">
      <c r="C681">
        <v>680</v>
      </c>
      <c r="D681" t="str">
        <f t="shared" ca="1" si="21"/>
        <v>-1</v>
      </c>
      <c r="E681">
        <f ca="1">ROUND(NORMINV(RAND(),最终结果!$I$8,最终结果!$E$8),0)</f>
        <v>101</v>
      </c>
      <c r="F681">
        <f ca="1">ROUND(NORMINV(RAND(),最终结果!$I$12,最终结果!$E$12),0)</f>
        <v>123</v>
      </c>
      <c r="G681" t="str">
        <f t="shared" ca="1" si="22"/>
        <v>Home</v>
      </c>
      <c r="H681" t="str">
        <f ca="1">IF(E681+最终结果!$G$8&gt;simulation!F681,"W","L")</f>
        <v>L</v>
      </c>
      <c r="I681" t="str">
        <f ca="1">IF(F681+最终结果!$G$12&gt;simulation!E681,"W","L")</f>
        <v>W</v>
      </c>
      <c r="J681" t="str">
        <f ca="1">IF((E681+F681)&gt;最终结果!$H$8,"Over","Under")</f>
        <v>Under</v>
      </c>
    </row>
    <row r="682" spans="3:10" x14ac:dyDescent="0.25">
      <c r="C682">
        <v>681</v>
      </c>
      <c r="D682" t="str">
        <f t="shared" ca="1" si="21"/>
        <v>-1</v>
      </c>
      <c r="E682">
        <f ca="1">ROUND(NORMINV(RAND(),最终结果!$I$8,最终结果!$E$8),0)</f>
        <v>111</v>
      </c>
      <c r="F682">
        <f ca="1">ROUND(NORMINV(RAND(),最终结果!$I$12,最终结果!$E$12),0)</f>
        <v>119</v>
      </c>
      <c r="G682" t="str">
        <f t="shared" ca="1" si="22"/>
        <v>Home</v>
      </c>
      <c r="H682" t="str">
        <f ca="1">IF(E682+最终结果!$G$8&gt;simulation!F682,"W","L")</f>
        <v>L</v>
      </c>
      <c r="I682" t="str">
        <f ca="1">IF(F682+最终结果!$G$12&gt;simulation!E682,"W","L")</f>
        <v>W</v>
      </c>
      <c r="J682" t="str">
        <f ca="1">IF((E682+F682)&gt;最终结果!$H$8,"Over","Under")</f>
        <v>Under</v>
      </c>
    </row>
    <row r="683" spans="3:10" x14ac:dyDescent="0.25">
      <c r="C683">
        <v>682</v>
      </c>
      <c r="D683" t="str">
        <f t="shared" ca="1" si="21"/>
        <v>-1</v>
      </c>
      <c r="E683">
        <f ca="1">ROUND(NORMINV(RAND(),最终结果!$I$8,最终结果!$E$8),0)</f>
        <v>101</v>
      </c>
      <c r="F683">
        <f ca="1">ROUND(NORMINV(RAND(),最终结果!$I$12,最终结果!$E$12),0)</f>
        <v>125</v>
      </c>
      <c r="G683" t="str">
        <f t="shared" ca="1" si="22"/>
        <v>Home</v>
      </c>
      <c r="H683" t="str">
        <f ca="1">IF(E683+最终结果!$G$8&gt;simulation!F683,"W","L")</f>
        <v>L</v>
      </c>
      <c r="I683" t="str">
        <f ca="1">IF(F683+最终结果!$G$12&gt;simulation!E683,"W","L")</f>
        <v>W</v>
      </c>
      <c r="J683" t="str">
        <f ca="1">IF((E683+F683)&gt;最终结果!$H$8,"Over","Under")</f>
        <v>Under</v>
      </c>
    </row>
    <row r="684" spans="3:10" x14ac:dyDescent="0.25">
      <c r="C684">
        <v>683</v>
      </c>
      <c r="D684" t="str">
        <f t="shared" ca="1" si="21"/>
        <v>-1</v>
      </c>
      <c r="E684">
        <f ca="1">ROUND(NORMINV(RAND(),最终结果!$I$8,最终结果!$E$8),0)</f>
        <v>95</v>
      </c>
      <c r="F684">
        <f ca="1">ROUND(NORMINV(RAND(),最终结果!$I$12,最终结果!$E$12),0)</f>
        <v>121</v>
      </c>
      <c r="G684" t="str">
        <f t="shared" ca="1" si="22"/>
        <v>Home</v>
      </c>
      <c r="H684" t="str">
        <f ca="1">IF(E684+最终结果!$G$8&gt;simulation!F684,"W","L")</f>
        <v>L</v>
      </c>
      <c r="I684" t="str">
        <f ca="1">IF(F684+最终结果!$G$12&gt;simulation!E684,"W","L")</f>
        <v>W</v>
      </c>
      <c r="J684" t="str">
        <f ca="1">IF((E684+F684)&gt;最终结果!$H$8,"Over","Under")</f>
        <v>Under</v>
      </c>
    </row>
    <row r="685" spans="3:10" x14ac:dyDescent="0.25">
      <c r="C685">
        <v>684</v>
      </c>
      <c r="D685" t="str">
        <f t="shared" ca="1" si="21"/>
        <v>1</v>
      </c>
      <c r="E685">
        <f ca="1">ROUND(NORMINV(RAND(),最终结果!$I$8,最终结果!$E$8),0)</f>
        <v>142</v>
      </c>
      <c r="F685">
        <f ca="1">ROUND(NORMINV(RAND(),最终结果!$I$12,最终结果!$E$12),0)</f>
        <v>122</v>
      </c>
      <c r="G685" t="str">
        <f t="shared" ca="1" si="22"/>
        <v>Away</v>
      </c>
      <c r="H685" t="str">
        <f ca="1">IF(E685+最终结果!$G$8&gt;simulation!F685,"W","L")</f>
        <v>W</v>
      </c>
      <c r="I685" t="str">
        <f ca="1">IF(F685+最终结果!$G$12&gt;simulation!E685,"W","L")</f>
        <v>L</v>
      </c>
      <c r="J685" t="str">
        <f ca="1">IF((E685+F685)&gt;最终结果!$H$8,"Over","Under")</f>
        <v>Over</v>
      </c>
    </row>
    <row r="686" spans="3:10" x14ac:dyDescent="0.25">
      <c r="C686">
        <v>685</v>
      </c>
      <c r="D686" t="str">
        <f t="shared" ca="1" si="21"/>
        <v>1</v>
      </c>
      <c r="E686">
        <f ca="1">ROUND(NORMINV(RAND(),最终结果!$I$8,最终结果!$E$8),0)</f>
        <v>135</v>
      </c>
      <c r="F686">
        <f ca="1">ROUND(NORMINV(RAND(),最终结果!$I$12,最终结果!$E$12),0)</f>
        <v>98</v>
      </c>
      <c r="G686" t="str">
        <f t="shared" ca="1" si="22"/>
        <v>Away</v>
      </c>
      <c r="H686" t="str">
        <f ca="1">IF(E686+最终结果!$G$8&gt;simulation!F686,"W","L")</f>
        <v>W</v>
      </c>
      <c r="I686" t="str">
        <f ca="1">IF(F686+最终结果!$G$12&gt;simulation!E686,"W","L")</f>
        <v>L</v>
      </c>
      <c r="J686" t="str">
        <f ca="1">IF((E686+F686)&gt;最终结果!$H$8,"Over","Under")</f>
        <v>Under</v>
      </c>
    </row>
    <row r="687" spans="3:10" x14ac:dyDescent="0.25">
      <c r="C687">
        <v>686</v>
      </c>
      <c r="D687" t="str">
        <f t="shared" ca="1" si="21"/>
        <v>-1</v>
      </c>
      <c r="E687">
        <f ca="1">ROUND(NORMINV(RAND(),最终结果!$I$8,最终结果!$E$8),0)</f>
        <v>111</v>
      </c>
      <c r="F687">
        <f ca="1">ROUND(NORMINV(RAND(),最终结果!$I$12,最终结果!$E$12),0)</f>
        <v>130</v>
      </c>
      <c r="G687" t="str">
        <f t="shared" ca="1" si="22"/>
        <v>Home</v>
      </c>
      <c r="H687" t="str">
        <f ca="1">IF(E687+最终结果!$G$8&gt;simulation!F687,"W","L")</f>
        <v>L</v>
      </c>
      <c r="I687" t="str">
        <f ca="1">IF(F687+最终结果!$G$12&gt;simulation!E687,"W","L")</f>
        <v>W</v>
      </c>
      <c r="J687" t="str">
        <f ca="1">IF((E687+F687)&gt;最终结果!$H$8,"Over","Under")</f>
        <v>Over</v>
      </c>
    </row>
    <row r="688" spans="3:10" x14ac:dyDescent="0.25">
      <c r="C688">
        <v>687</v>
      </c>
      <c r="D688" t="str">
        <f t="shared" ca="1" si="21"/>
        <v>1</v>
      </c>
      <c r="E688">
        <f ca="1">ROUND(NORMINV(RAND(),最终结果!$I$8,最终结果!$E$8),0)</f>
        <v>123</v>
      </c>
      <c r="F688">
        <f ca="1">ROUND(NORMINV(RAND(),最终结果!$I$12,最终结果!$E$12),0)</f>
        <v>117</v>
      </c>
      <c r="G688" t="str">
        <f t="shared" ca="1" si="22"/>
        <v>Away</v>
      </c>
      <c r="H688" t="str">
        <f ca="1">IF(E688+最终结果!$G$8&gt;simulation!F688,"W","L")</f>
        <v>W</v>
      </c>
      <c r="I688" t="str">
        <f ca="1">IF(F688+最终结果!$G$12&gt;simulation!E688,"W","L")</f>
        <v>L</v>
      </c>
      <c r="J688" t="str">
        <f ca="1">IF((E688+F688)&gt;最终结果!$H$8,"Over","Under")</f>
        <v>Over</v>
      </c>
    </row>
    <row r="689" spans="3:10" x14ac:dyDescent="0.25">
      <c r="C689">
        <v>688</v>
      </c>
      <c r="D689" t="str">
        <f t="shared" ca="1" si="21"/>
        <v>-1</v>
      </c>
      <c r="E689">
        <f ca="1">ROUND(NORMINV(RAND(),最终结果!$I$8,最终结果!$E$8),0)</f>
        <v>122</v>
      </c>
      <c r="F689">
        <f ca="1">ROUND(NORMINV(RAND(),最终结果!$I$12,最终结果!$E$12),0)</f>
        <v>129</v>
      </c>
      <c r="G689" t="str">
        <f t="shared" ca="1" si="22"/>
        <v>Home</v>
      </c>
      <c r="H689" t="str">
        <f ca="1">IF(E689+最终结果!$G$8&gt;simulation!F689,"W","L")</f>
        <v>L</v>
      </c>
      <c r="I689" t="str">
        <f ca="1">IF(F689+最终结果!$G$12&gt;simulation!E689,"W","L")</f>
        <v>W</v>
      </c>
      <c r="J689" t="str">
        <f ca="1">IF((E689+F689)&gt;最终结果!$H$8,"Over","Under")</f>
        <v>Over</v>
      </c>
    </row>
    <row r="690" spans="3:10" x14ac:dyDescent="0.25">
      <c r="C690">
        <v>689</v>
      </c>
      <c r="D690" t="str">
        <f t="shared" ca="1" si="21"/>
        <v>1</v>
      </c>
      <c r="E690">
        <f ca="1">ROUND(NORMINV(RAND(),最终结果!$I$8,最终结果!$E$8),0)</f>
        <v>115</v>
      </c>
      <c r="F690">
        <f ca="1">ROUND(NORMINV(RAND(),最终结果!$I$12,最终结果!$E$12),0)</f>
        <v>111</v>
      </c>
      <c r="G690" t="str">
        <f t="shared" ca="1" si="22"/>
        <v>Away</v>
      </c>
      <c r="H690" t="str">
        <f ca="1">IF(E690+最终结果!$G$8&gt;simulation!F690,"W","L")</f>
        <v>W</v>
      </c>
      <c r="I690" t="str">
        <f ca="1">IF(F690+最终结果!$G$12&gt;simulation!E690,"W","L")</f>
        <v>L</v>
      </c>
      <c r="J690" t="str">
        <f ca="1">IF((E690+F690)&gt;最终结果!$H$8,"Over","Under")</f>
        <v>Under</v>
      </c>
    </row>
    <row r="691" spans="3:10" x14ac:dyDescent="0.25">
      <c r="C691">
        <v>690</v>
      </c>
      <c r="D691" t="str">
        <f t="shared" ca="1" si="21"/>
        <v>-1</v>
      </c>
      <c r="E691">
        <f ca="1">ROUND(NORMINV(RAND(),最终结果!$I$8,最终结果!$E$8),0)</f>
        <v>103</v>
      </c>
      <c r="F691">
        <f ca="1">ROUND(NORMINV(RAND(),最终结果!$I$12,最终结果!$E$12),0)</f>
        <v>114</v>
      </c>
      <c r="G691" t="str">
        <f t="shared" ca="1" si="22"/>
        <v>Home</v>
      </c>
      <c r="H691" t="str">
        <f ca="1">IF(E691+最终结果!$G$8&gt;simulation!F691,"W","L")</f>
        <v>L</v>
      </c>
      <c r="I691" t="str">
        <f ca="1">IF(F691+最终结果!$G$12&gt;simulation!E691,"W","L")</f>
        <v>W</v>
      </c>
      <c r="J691" t="str">
        <f ca="1">IF((E691+F691)&gt;最终结果!$H$8,"Over","Under")</f>
        <v>Under</v>
      </c>
    </row>
    <row r="692" spans="3:10" x14ac:dyDescent="0.25">
      <c r="C692">
        <v>691</v>
      </c>
      <c r="D692" t="str">
        <f t="shared" ca="1" si="21"/>
        <v>1</v>
      </c>
      <c r="E692">
        <f ca="1">ROUND(NORMINV(RAND(),最终结果!$I$8,最终结果!$E$8),0)</f>
        <v>140</v>
      </c>
      <c r="F692">
        <f ca="1">ROUND(NORMINV(RAND(),最终结果!$I$12,最终结果!$E$12),0)</f>
        <v>106</v>
      </c>
      <c r="G692" t="str">
        <f t="shared" ca="1" si="22"/>
        <v>Away</v>
      </c>
      <c r="H692" t="str">
        <f ca="1">IF(E692+最终结果!$G$8&gt;simulation!F692,"W","L")</f>
        <v>W</v>
      </c>
      <c r="I692" t="str">
        <f ca="1">IF(F692+最终结果!$G$12&gt;simulation!E692,"W","L")</f>
        <v>L</v>
      </c>
      <c r="J692" t="str">
        <f ca="1">IF((E692+F692)&gt;最终结果!$H$8,"Over","Under")</f>
        <v>Over</v>
      </c>
    </row>
    <row r="693" spans="3:10" x14ac:dyDescent="0.25">
      <c r="C693">
        <v>692</v>
      </c>
      <c r="D693" t="str">
        <f t="shared" ca="1" si="21"/>
        <v>-1</v>
      </c>
      <c r="E693">
        <f ca="1">ROUND(NORMINV(RAND(),最终结果!$I$8,最终结果!$E$8),0)</f>
        <v>118</v>
      </c>
      <c r="F693">
        <f ca="1">ROUND(NORMINV(RAND(),最终结果!$I$12,最终结果!$E$12),0)</f>
        <v>132</v>
      </c>
      <c r="G693" t="str">
        <f t="shared" ca="1" si="22"/>
        <v>Home</v>
      </c>
      <c r="H693" t="str">
        <f ca="1">IF(E693+最终结果!$G$8&gt;simulation!F693,"W","L")</f>
        <v>L</v>
      </c>
      <c r="I693" t="str">
        <f ca="1">IF(F693+最终结果!$G$12&gt;simulation!E693,"W","L")</f>
        <v>W</v>
      </c>
      <c r="J693" t="str">
        <f ca="1">IF((E693+F693)&gt;最终结果!$H$8,"Over","Under")</f>
        <v>Over</v>
      </c>
    </row>
    <row r="694" spans="3:10" x14ac:dyDescent="0.25">
      <c r="C694">
        <v>693</v>
      </c>
      <c r="D694" t="str">
        <f t="shared" ca="1" si="21"/>
        <v>1</v>
      </c>
      <c r="E694">
        <f ca="1">ROUND(NORMINV(RAND(),最终结果!$I$8,最终结果!$E$8),0)</f>
        <v>128</v>
      </c>
      <c r="F694">
        <f ca="1">ROUND(NORMINV(RAND(),最终结果!$I$12,最终结果!$E$12),0)</f>
        <v>109</v>
      </c>
      <c r="G694" t="str">
        <f t="shared" ca="1" si="22"/>
        <v>Away</v>
      </c>
      <c r="H694" t="str">
        <f ca="1">IF(E694+最终结果!$G$8&gt;simulation!F694,"W","L")</f>
        <v>W</v>
      </c>
      <c r="I694" t="str">
        <f ca="1">IF(F694+最终结果!$G$12&gt;simulation!E694,"W","L")</f>
        <v>L</v>
      </c>
      <c r="J694" t="str">
        <f ca="1">IF((E694+F694)&gt;最终结果!$H$8,"Over","Under")</f>
        <v>Under</v>
      </c>
    </row>
    <row r="695" spans="3:10" x14ac:dyDescent="0.25">
      <c r="C695">
        <v>694</v>
      </c>
      <c r="D695" t="str">
        <f t="shared" ca="1" si="21"/>
        <v>-1</v>
      </c>
      <c r="E695">
        <f ca="1">ROUND(NORMINV(RAND(),最终结果!$I$8,最终结果!$E$8),0)</f>
        <v>104</v>
      </c>
      <c r="F695">
        <f ca="1">ROUND(NORMINV(RAND(),最终结果!$I$12,最终结果!$E$12),0)</f>
        <v>130</v>
      </c>
      <c r="G695" t="str">
        <f t="shared" ca="1" si="22"/>
        <v>Home</v>
      </c>
      <c r="H695" t="str">
        <f ca="1">IF(E695+最终结果!$G$8&gt;simulation!F695,"W","L")</f>
        <v>L</v>
      </c>
      <c r="I695" t="str">
        <f ca="1">IF(F695+最终结果!$G$12&gt;simulation!E695,"W","L")</f>
        <v>W</v>
      </c>
      <c r="J695" t="str">
        <f ca="1">IF((E695+F695)&gt;最终结果!$H$8,"Over","Under")</f>
        <v>Under</v>
      </c>
    </row>
    <row r="696" spans="3:10" x14ac:dyDescent="0.25">
      <c r="C696">
        <v>695</v>
      </c>
      <c r="D696" t="str">
        <f t="shared" ca="1" si="21"/>
        <v>-1</v>
      </c>
      <c r="E696">
        <f ca="1">ROUND(NORMINV(RAND(),最终结果!$I$8,最终结果!$E$8),0)</f>
        <v>100</v>
      </c>
      <c r="F696">
        <f ca="1">ROUND(NORMINV(RAND(),最终结果!$I$12,最终结果!$E$12),0)</f>
        <v>135</v>
      </c>
      <c r="G696" t="str">
        <f t="shared" ca="1" si="22"/>
        <v>Home</v>
      </c>
      <c r="H696" t="str">
        <f ca="1">IF(E696+最终结果!$G$8&gt;simulation!F696,"W","L")</f>
        <v>L</v>
      </c>
      <c r="I696" t="str">
        <f ca="1">IF(F696+最终结果!$G$12&gt;simulation!E696,"W","L")</f>
        <v>W</v>
      </c>
      <c r="J696" t="str">
        <f ca="1">IF((E696+F696)&gt;最终结果!$H$8,"Over","Under")</f>
        <v>Under</v>
      </c>
    </row>
    <row r="697" spans="3:10" x14ac:dyDescent="0.25">
      <c r="C697">
        <v>696</v>
      </c>
      <c r="D697" t="str">
        <f t="shared" ca="1" si="21"/>
        <v>-1</v>
      </c>
      <c r="E697">
        <f ca="1">ROUND(NORMINV(RAND(),最终结果!$I$8,最终结果!$E$8),0)</f>
        <v>97</v>
      </c>
      <c r="F697">
        <f ca="1">ROUND(NORMINV(RAND(),最终结果!$I$12,最终结果!$E$12),0)</f>
        <v>131</v>
      </c>
      <c r="G697" t="str">
        <f t="shared" ca="1" si="22"/>
        <v>Home</v>
      </c>
      <c r="H697" t="str">
        <f ca="1">IF(E697+最终结果!$G$8&gt;simulation!F697,"W","L")</f>
        <v>L</v>
      </c>
      <c r="I697" t="str">
        <f ca="1">IF(F697+最终结果!$G$12&gt;simulation!E697,"W","L")</f>
        <v>W</v>
      </c>
      <c r="J697" t="str">
        <f ca="1">IF((E697+F697)&gt;最终结果!$H$8,"Over","Under")</f>
        <v>Under</v>
      </c>
    </row>
    <row r="698" spans="3:10" x14ac:dyDescent="0.25">
      <c r="C698">
        <v>697</v>
      </c>
      <c r="D698" t="str">
        <f t="shared" ca="1" si="21"/>
        <v>1</v>
      </c>
      <c r="E698">
        <f ca="1">ROUND(NORMINV(RAND(),最终结果!$I$8,最终结果!$E$8),0)</f>
        <v>108</v>
      </c>
      <c r="F698">
        <f ca="1">ROUND(NORMINV(RAND(),最终结果!$I$12,最终结果!$E$12),0)</f>
        <v>98</v>
      </c>
      <c r="G698" t="str">
        <f t="shared" ca="1" si="22"/>
        <v>Away</v>
      </c>
      <c r="H698" t="str">
        <f ca="1">IF(E698+最终结果!$G$8&gt;simulation!F698,"W","L")</f>
        <v>W</v>
      </c>
      <c r="I698" t="str">
        <f ca="1">IF(F698+最终结果!$G$12&gt;simulation!E698,"W","L")</f>
        <v>L</v>
      </c>
      <c r="J698" t="str">
        <f ca="1">IF((E698+F698)&gt;最终结果!$H$8,"Over","Under")</f>
        <v>Under</v>
      </c>
    </row>
    <row r="699" spans="3:10" x14ac:dyDescent="0.25">
      <c r="C699">
        <v>698</v>
      </c>
      <c r="D699" t="str">
        <f t="shared" ca="1" si="21"/>
        <v>-1</v>
      </c>
      <c r="E699">
        <f ca="1">ROUND(NORMINV(RAND(),最终结果!$I$8,最终结果!$E$8),0)</f>
        <v>113</v>
      </c>
      <c r="F699">
        <f ca="1">ROUND(NORMINV(RAND(),最终结果!$I$12,最终结果!$E$12),0)</f>
        <v>137</v>
      </c>
      <c r="G699" t="str">
        <f t="shared" ca="1" si="22"/>
        <v>Home</v>
      </c>
      <c r="H699" t="str">
        <f ca="1">IF(E699+最终结果!$G$8&gt;simulation!F699,"W","L")</f>
        <v>L</v>
      </c>
      <c r="I699" t="str">
        <f ca="1">IF(F699+最终结果!$G$12&gt;simulation!E699,"W","L")</f>
        <v>W</v>
      </c>
      <c r="J699" t="str">
        <f ca="1">IF((E699+F699)&gt;最终结果!$H$8,"Over","Under")</f>
        <v>Over</v>
      </c>
    </row>
    <row r="700" spans="3:10" x14ac:dyDescent="0.25">
      <c r="C700">
        <v>699</v>
      </c>
      <c r="D700" t="str">
        <f t="shared" ca="1" si="21"/>
        <v>-1</v>
      </c>
      <c r="E700">
        <f ca="1">ROUND(NORMINV(RAND(),最终结果!$I$8,最终结果!$E$8),0)</f>
        <v>115</v>
      </c>
      <c r="F700">
        <f ca="1">ROUND(NORMINV(RAND(),最终结果!$I$12,最终结果!$E$12),0)</f>
        <v>129</v>
      </c>
      <c r="G700" t="str">
        <f t="shared" ca="1" si="22"/>
        <v>Home</v>
      </c>
      <c r="H700" t="str">
        <f ca="1">IF(E700+最终结果!$G$8&gt;simulation!F700,"W","L")</f>
        <v>L</v>
      </c>
      <c r="I700" t="str">
        <f ca="1">IF(F700+最终结果!$G$12&gt;simulation!E700,"W","L")</f>
        <v>W</v>
      </c>
      <c r="J700" t="str">
        <f ca="1">IF((E700+F700)&gt;最终结果!$H$8,"Over","Under")</f>
        <v>Over</v>
      </c>
    </row>
    <row r="701" spans="3:10" x14ac:dyDescent="0.25">
      <c r="C701">
        <v>700</v>
      </c>
      <c r="D701" t="str">
        <f t="shared" ca="1" si="21"/>
        <v>-1</v>
      </c>
      <c r="E701">
        <f ca="1">ROUND(NORMINV(RAND(),最终结果!$I$8,最终结果!$E$8),0)</f>
        <v>108</v>
      </c>
      <c r="F701">
        <f ca="1">ROUND(NORMINV(RAND(),最终结果!$I$12,最终结果!$E$12),0)</f>
        <v>123</v>
      </c>
      <c r="G701" t="str">
        <f t="shared" ca="1" si="22"/>
        <v>Home</v>
      </c>
      <c r="H701" t="str">
        <f ca="1">IF(E701+最终结果!$G$8&gt;simulation!F701,"W","L")</f>
        <v>L</v>
      </c>
      <c r="I701" t="str">
        <f ca="1">IF(F701+最终结果!$G$12&gt;simulation!E701,"W","L")</f>
        <v>W</v>
      </c>
      <c r="J701" t="str">
        <f ca="1">IF((E701+F701)&gt;最终结果!$H$8,"Over","Under")</f>
        <v>Under</v>
      </c>
    </row>
    <row r="702" spans="3:10" x14ac:dyDescent="0.25">
      <c r="C702">
        <v>701</v>
      </c>
      <c r="D702" t="str">
        <f t="shared" ca="1" si="21"/>
        <v>-1</v>
      </c>
      <c r="E702">
        <f ca="1">ROUND(NORMINV(RAND(),最终结果!$I$8,最终结果!$E$8),0)</f>
        <v>122</v>
      </c>
      <c r="F702">
        <f ca="1">ROUND(NORMINV(RAND(),最终结果!$I$12,最终结果!$E$12),0)</f>
        <v>124</v>
      </c>
      <c r="G702" t="str">
        <f t="shared" ca="1" si="22"/>
        <v>Home</v>
      </c>
      <c r="H702" t="str">
        <f ca="1">IF(E702+最终结果!$G$8&gt;simulation!F702,"W","L")</f>
        <v>W</v>
      </c>
      <c r="I702" t="str">
        <f ca="1">IF(F702+最终结果!$G$12&gt;simulation!E702,"W","L")</f>
        <v>L</v>
      </c>
      <c r="J702" t="str">
        <f ca="1">IF((E702+F702)&gt;最终结果!$H$8,"Over","Under")</f>
        <v>Over</v>
      </c>
    </row>
    <row r="703" spans="3:10" x14ac:dyDescent="0.25">
      <c r="C703">
        <v>702</v>
      </c>
      <c r="D703" t="str">
        <f t="shared" ca="1" si="21"/>
        <v>1</v>
      </c>
      <c r="E703">
        <f ca="1">ROUND(NORMINV(RAND(),最终结果!$I$8,最终结果!$E$8),0)</f>
        <v>117</v>
      </c>
      <c r="F703">
        <f ca="1">ROUND(NORMINV(RAND(),最终结果!$I$12,最终结果!$E$12),0)</f>
        <v>111</v>
      </c>
      <c r="G703" t="str">
        <f t="shared" ca="1" si="22"/>
        <v>Away</v>
      </c>
      <c r="H703" t="str">
        <f ca="1">IF(E703+最终结果!$G$8&gt;simulation!F703,"W","L")</f>
        <v>W</v>
      </c>
      <c r="I703" t="str">
        <f ca="1">IF(F703+最终结果!$G$12&gt;simulation!E703,"W","L")</f>
        <v>L</v>
      </c>
      <c r="J703" t="str">
        <f ca="1">IF((E703+F703)&gt;最终结果!$H$8,"Over","Under")</f>
        <v>Under</v>
      </c>
    </row>
    <row r="704" spans="3:10" x14ac:dyDescent="0.25">
      <c r="C704">
        <v>703</v>
      </c>
      <c r="D704" t="str">
        <f t="shared" ca="1" si="21"/>
        <v>-1</v>
      </c>
      <c r="E704">
        <f ca="1">ROUND(NORMINV(RAND(),最终结果!$I$8,最终结果!$E$8),0)</f>
        <v>102</v>
      </c>
      <c r="F704">
        <f ca="1">ROUND(NORMINV(RAND(),最终结果!$I$12,最终结果!$E$12),0)</f>
        <v>110</v>
      </c>
      <c r="G704" t="str">
        <f t="shared" ca="1" si="22"/>
        <v>Home</v>
      </c>
      <c r="H704" t="str">
        <f ca="1">IF(E704+最终结果!$G$8&gt;simulation!F704,"W","L")</f>
        <v>L</v>
      </c>
      <c r="I704" t="str">
        <f ca="1">IF(F704+最终结果!$G$12&gt;simulation!E704,"W","L")</f>
        <v>W</v>
      </c>
      <c r="J704" t="str">
        <f ca="1">IF((E704+F704)&gt;最终结果!$H$8,"Over","Under")</f>
        <v>Under</v>
      </c>
    </row>
    <row r="705" spans="3:10" x14ac:dyDescent="0.25">
      <c r="C705">
        <v>704</v>
      </c>
      <c r="D705" t="str">
        <f t="shared" ca="1" si="21"/>
        <v>-1</v>
      </c>
      <c r="E705">
        <f ca="1">ROUND(NORMINV(RAND(),最终结果!$I$8,最终结果!$E$8),0)</f>
        <v>103</v>
      </c>
      <c r="F705">
        <f ca="1">ROUND(NORMINV(RAND(),最终结果!$I$12,最终结果!$E$12),0)</f>
        <v>136</v>
      </c>
      <c r="G705" t="str">
        <f t="shared" ca="1" si="22"/>
        <v>Home</v>
      </c>
      <c r="H705" t="str">
        <f ca="1">IF(E705+最终结果!$G$8&gt;simulation!F705,"W","L")</f>
        <v>L</v>
      </c>
      <c r="I705" t="str">
        <f ca="1">IF(F705+最终结果!$G$12&gt;simulation!E705,"W","L")</f>
        <v>W</v>
      </c>
      <c r="J705" t="str">
        <f ca="1">IF((E705+F705)&gt;最终结果!$H$8,"Over","Under")</f>
        <v>Over</v>
      </c>
    </row>
    <row r="706" spans="3:10" x14ac:dyDescent="0.25">
      <c r="C706">
        <v>705</v>
      </c>
      <c r="D706" t="str">
        <f t="shared" ca="1" si="21"/>
        <v>1</v>
      </c>
      <c r="E706">
        <f ca="1">ROUND(NORMINV(RAND(),最终结果!$I$8,最终结果!$E$8),0)</f>
        <v>124</v>
      </c>
      <c r="F706">
        <f ca="1">ROUND(NORMINV(RAND(),最终结果!$I$12,最终结果!$E$12),0)</f>
        <v>120</v>
      </c>
      <c r="G706" t="str">
        <f t="shared" ca="1" si="22"/>
        <v>Away</v>
      </c>
      <c r="H706" t="str">
        <f ca="1">IF(E706+最终结果!$G$8&gt;simulation!F706,"W","L")</f>
        <v>W</v>
      </c>
      <c r="I706" t="str">
        <f ca="1">IF(F706+最终结果!$G$12&gt;simulation!E706,"W","L")</f>
        <v>L</v>
      </c>
      <c r="J706" t="str">
        <f ca="1">IF((E706+F706)&gt;最终结果!$H$8,"Over","Under")</f>
        <v>Over</v>
      </c>
    </row>
    <row r="707" spans="3:10" x14ac:dyDescent="0.25">
      <c r="C707">
        <v>706</v>
      </c>
      <c r="D707" t="str">
        <f t="shared" ref="D707:D770" ca="1" si="23">IF(E707=F707,0,IF(E707&gt;F707,"1","-1"))</f>
        <v>-1</v>
      </c>
      <c r="E707">
        <f ca="1">ROUND(NORMINV(RAND(),最终结果!$I$8,最终结果!$E$8),0)</f>
        <v>105</v>
      </c>
      <c r="F707">
        <f ca="1">ROUND(NORMINV(RAND(),最终结果!$I$12,最终结果!$E$12),0)</f>
        <v>129</v>
      </c>
      <c r="G707" t="str">
        <f t="shared" ca="1" si="22"/>
        <v>Home</v>
      </c>
      <c r="H707" t="str">
        <f ca="1">IF(E707+最终结果!$G$8&gt;simulation!F707,"W","L")</f>
        <v>L</v>
      </c>
      <c r="I707" t="str">
        <f ca="1">IF(F707+最终结果!$G$12&gt;simulation!E707,"W","L")</f>
        <v>W</v>
      </c>
      <c r="J707" t="str">
        <f ca="1">IF((E707+F707)&gt;最终结果!$H$8,"Over","Under")</f>
        <v>Under</v>
      </c>
    </row>
    <row r="708" spans="3:10" x14ac:dyDescent="0.25">
      <c r="C708">
        <v>707</v>
      </c>
      <c r="D708" t="str">
        <f t="shared" ca="1" si="23"/>
        <v>1</v>
      </c>
      <c r="E708">
        <f ca="1">ROUND(NORMINV(RAND(),最终结果!$I$8,最终结果!$E$8),0)</f>
        <v>119</v>
      </c>
      <c r="F708">
        <f ca="1">ROUND(NORMINV(RAND(),最终结果!$I$12,最终结果!$E$12),0)</f>
        <v>110</v>
      </c>
      <c r="G708" t="str">
        <f t="shared" ca="1" si="22"/>
        <v>Away</v>
      </c>
      <c r="H708" t="str">
        <f ca="1">IF(E708+最终结果!$G$8&gt;simulation!F708,"W","L")</f>
        <v>W</v>
      </c>
      <c r="I708" t="str">
        <f ca="1">IF(F708+最终结果!$G$12&gt;simulation!E708,"W","L")</f>
        <v>L</v>
      </c>
      <c r="J708" t="str">
        <f ca="1">IF((E708+F708)&gt;最终结果!$H$8,"Over","Under")</f>
        <v>Under</v>
      </c>
    </row>
    <row r="709" spans="3:10" x14ac:dyDescent="0.25">
      <c r="C709">
        <v>708</v>
      </c>
      <c r="D709" t="str">
        <f t="shared" ca="1" si="23"/>
        <v>-1</v>
      </c>
      <c r="E709">
        <f ca="1">ROUND(NORMINV(RAND(),最终结果!$I$8,最终结果!$E$8),0)</f>
        <v>109</v>
      </c>
      <c r="F709">
        <f ca="1">ROUND(NORMINV(RAND(),最终结果!$I$12,最终结果!$E$12),0)</f>
        <v>120</v>
      </c>
      <c r="G709" t="str">
        <f t="shared" ca="1" si="22"/>
        <v>Home</v>
      </c>
      <c r="H709" t="str">
        <f ca="1">IF(E709+最终结果!$G$8&gt;simulation!F709,"W","L")</f>
        <v>L</v>
      </c>
      <c r="I709" t="str">
        <f ca="1">IF(F709+最终结果!$G$12&gt;simulation!E709,"W","L")</f>
        <v>W</v>
      </c>
      <c r="J709" t="str">
        <f ca="1">IF((E709+F709)&gt;最终结果!$H$8,"Over","Under")</f>
        <v>Under</v>
      </c>
    </row>
    <row r="710" spans="3:10" x14ac:dyDescent="0.25">
      <c r="C710">
        <v>709</v>
      </c>
      <c r="D710" t="str">
        <f t="shared" ca="1" si="23"/>
        <v>-1</v>
      </c>
      <c r="E710">
        <f ca="1">ROUND(NORMINV(RAND(),最终结果!$I$8,最终结果!$E$8),0)</f>
        <v>86</v>
      </c>
      <c r="F710">
        <f ca="1">ROUND(NORMINV(RAND(),最终结果!$I$12,最终结果!$E$12),0)</f>
        <v>108</v>
      </c>
      <c r="G710" t="str">
        <f t="shared" ca="1" si="22"/>
        <v>Home</v>
      </c>
      <c r="H710" t="str">
        <f ca="1">IF(E710+最终结果!$G$8&gt;simulation!F710,"W","L")</f>
        <v>L</v>
      </c>
      <c r="I710" t="str">
        <f ca="1">IF(F710+最终结果!$G$12&gt;simulation!E710,"W","L")</f>
        <v>W</v>
      </c>
      <c r="J710" t="str">
        <f ca="1">IF((E710+F710)&gt;最终结果!$H$8,"Over","Under")</f>
        <v>Under</v>
      </c>
    </row>
    <row r="711" spans="3:10" x14ac:dyDescent="0.25">
      <c r="C711">
        <v>710</v>
      </c>
      <c r="D711" t="str">
        <f t="shared" ca="1" si="23"/>
        <v>-1</v>
      </c>
      <c r="E711">
        <f ca="1">ROUND(NORMINV(RAND(),最终结果!$I$8,最终结果!$E$8),0)</f>
        <v>121</v>
      </c>
      <c r="F711">
        <f ca="1">ROUND(NORMINV(RAND(),最终结果!$I$12,最终结果!$E$12),0)</f>
        <v>132</v>
      </c>
      <c r="G711" t="str">
        <f t="shared" ca="1" si="22"/>
        <v>Home</v>
      </c>
      <c r="H711" t="str">
        <f ca="1">IF(E711+最终结果!$G$8&gt;simulation!F711,"W","L")</f>
        <v>L</v>
      </c>
      <c r="I711" t="str">
        <f ca="1">IF(F711+最终结果!$G$12&gt;simulation!E711,"W","L")</f>
        <v>W</v>
      </c>
      <c r="J711" t="str">
        <f ca="1">IF((E711+F711)&gt;最终结果!$H$8,"Over","Under")</f>
        <v>Over</v>
      </c>
    </row>
    <row r="712" spans="3:10" x14ac:dyDescent="0.25">
      <c r="C712">
        <v>711</v>
      </c>
      <c r="D712" t="str">
        <f t="shared" ca="1" si="23"/>
        <v>1</v>
      </c>
      <c r="E712">
        <f ca="1">ROUND(NORMINV(RAND(),最终结果!$I$8,最终结果!$E$8),0)</f>
        <v>100</v>
      </c>
      <c r="F712">
        <f ca="1">ROUND(NORMINV(RAND(),最终结果!$I$12,最终结果!$E$12),0)</f>
        <v>99</v>
      </c>
      <c r="G712" t="str">
        <f t="shared" ca="1" si="22"/>
        <v>Away</v>
      </c>
      <c r="H712" t="str">
        <f ca="1">IF(E712+最终结果!$G$8&gt;simulation!F712,"W","L")</f>
        <v>W</v>
      </c>
      <c r="I712" t="str">
        <f ca="1">IF(F712+最终结果!$G$12&gt;simulation!E712,"W","L")</f>
        <v>L</v>
      </c>
      <c r="J712" t="str">
        <f ca="1">IF((E712+F712)&gt;最终结果!$H$8,"Over","Under")</f>
        <v>Under</v>
      </c>
    </row>
    <row r="713" spans="3:10" x14ac:dyDescent="0.25">
      <c r="C713">
        <v>712</v>
      </c>
      <c r="D713" t="str">
        <f t="shared" ca="1" si="23"/>
        <v>-1</v>
      </c>
      <c r="E713">
        <f ca="1">ROUND(NORMINV(RAND(),最终结果!$I$8,最终结果!$E$8),0)</f>
        <v>113</v>
      </c>
      <c r="F713">
        <f ca="1">ROUND(NORMINV(RAND(),最终结果!$I$12,最终结果!$E$12),0)</f>
        <v>126</v>
      </c>
      <c r="G713" t="str">
        <f t="shared" ca="1" si="22"/>
        <v>Home</v>
      </c>
      <c r="H713" t="str">
        <f ca="1">IF(E713+最终结果!$G$8&gt;simulation!F713,"W","L")</f>
        <v>L</v>
      </c>
      <c r="I713" t="str">
        <f ca="1">IF(F713+最终结果!$G$12&gt;simulation!E713,"W","L")</f>
        <v>W</v>
      </c>
      <c r="J713" t="str">
        <f ca="1">IF((E713+F713)&gt;最终结果!$H$8,"Over","Under")</f>
        <v>Over</v>
      </c>
    </row>
    <row r="714" spans="3:10" x14ac:dyDescent="0.25">
      <c r="C714">
        <v>713</v>
      </c>
      <c r="D714" t="str">
        <f t="shared" ca="1" si="23"/>
        <v>-1</v>
      </c>
      <c r="E714">
        <f ca="1">ROUND(NORMINV(RAND(),最终结果!$I$8,最终结果!$E$8),0)</f>
        <v>108</v>
      </c>
      <c r="F714">
        <f ca="1">ROUND(NORMINV(RAND(),最终结果!$I$12,最终结果!$E$12),0)</f>
        <v>118</v>
      </c>
      <c r="G714" t="str">
        <f t="shared" ca="1" si="22"/>
        <v>Home</v>
      </c>
      <c r="H714" t="str">
        <f ca="1">IF(E714+最终结果!$G$8&gt;simulation!F714,"W","L")</f>
        <v>L</v>
      </c>
      <c r="I714" t="str">
        <f ca="1">IF(F714+最终结果!$G$12&gt;simulation!E714,"W","L")</f>
        <v>W</v>
      </c>
      <c r="J714" t="str">
        <f ca="1">IF((E714+F714)&gt;最终结果!$H$8,"Over","Under")</f>
        <v>Under</v>
      </c>
    </row>
    <row r="715" spans="3:10" x14ac:dyDescent="0.25">
      <c r="C715">
        <v>714</v>
      </c>
      <c r="D715" t="str">
        <f t="shared" ca="1" si="23"/>
        <v>1</v>
      </c>
      <c r="E715">
        <f ca="1">ROUND(NORMINV(RAND(),最终结果!$I$8,最终结果!$E$8),0)</f>
        <v>127</v>
      </c>
      <c r="F715">
        <f ca="1">ROUND(NORMINV(RAND(),最终结果!$I$12,最终结果!$E$12),0)</f>
        <v>103</v>
      </c>
      <c r="G715" t="str">
        <f t="shared" ca="1" si="22"/>
        <v>Away</v>
      </c>
      <c r="H715" t="str">
        <f ca="1">IF(E715+最终结果!$G$8&gt;simulation!F715,"W","L")</f>
        <v>W</v>
      </c>
      <c r="I715" t="str">
        <f ca="1">IF(F715+最终结果!$G$12&gt;simulation!E715,"W","L")</f>
        <v>L</v>
      </c>
      <c r="J715" t="str">
        <f ca="1">IF((E715+F715)&gt;最终结果!$H$8,"Over","Under")</f>
        <v>Under</v>
      </c>
    </row>
    <row r="716" spans="3:10" x14ac:dyDescent="0.25">
      <c r="C716">
        <v>715</v>
      </c>
      <c r="D716" t="str">
        <f t="shared" ca="1" si="23"/>
        <v>-1</v>
      </c>
      <c r="E716">
        <f ca="1">ROUND(NORMINV(RAND(),最终结果!$I$8,最终结果!$E$8),0)</f>
        <v>95</v>
      </c>
      <c r="F716">
        <f ca="1">ROUND(NORMINV(RAND(),最终结果!$I$12,最终结果!$E$12),0)</f>
        <v>116</v>
      </c>
      <c r="G716" t="str">
        <f t="shared" ca="1" si="22"/>
        <v>Home</v>
      </c>
      <c r="H716" t="str">
        <f ca="1">IF(E716+最终结果!$G$8&gt;simulation!F716,"W","L")</f>
        <v>L</v>
      </c>
      <c r="I716" t="str">
        <f ca="1">IF(F716+最终结果!$G$12&gt;simulation!E716,"W","L")</f>
        <v>W</v>
      </c>
      <c r="J716" t="str">
        <f ca="1">IF((E716+F716)&gt;最终结果!$H$8,"Over","Under")</f>
        <v>Under</v>
      </c>
    </row>
    <row r="717" spans="3:10" x14ac:dyDescent="0.25">
      <c r="C717">
        <v>716</v>
      </c>
      <c r="D717" t="str">
        <f t="shared" ca="1" si="23"/>
        <v>1</v>
      </c>
      <c r="E717">
        <f ca="1">ROUND(NORMINV(RAND(),最终结果!$I$8,最终结果!$E$8),0)</f>
        <v>113</v>
      </c>
      <c r="F717">
        <f ca="1">ROUND(NORMINV(RAND(),最终结果!$I$12,最终结果!$E$12),0)</f>
        <v>99</v>
      </c>
      <c r="G717" t="str">
        <f t="shared" ca="1" si="22"/>
        <v>Away</v>
      </c>
      <c r="H717" t="str">
        <f ca="1">IF(E717+最终结果!$G$8&gt;simulation!F717,"W","L")</f>
        <v>W</v>
      </c>
      <c r="I717" t="str">
        <f ca="1">IF(F717+最终结果!$G$12&gt;simulation!E717,"W","L")</f>
        <v>L</v>
      </c>
      <c r="J717" t="str">
        <f ca="1">IF((E717+F717)&gt;最终结果!$H$8,"Over","Under")</f>
        <v>Under</v>
      </c>
    </row>
    <row r="718" spans="3:10" x14ac:dyDescent="0.25">
      <c r="C718">
        <v>717</v>
      </c>
      <c r="D718" t="str">
        <f t="shared" ca="1" si="23"/>
        <v>1</v>
      </c>
      <c r="E718">
        <f ca="1">ROUND(NORMINV(RAND(),最终结果!$I$8,最终结果!$E$8),0)</f>
        <v>136</v>
      </c>
      <c r="F718">
        <f ca="1">ROUND(NORMINV(RAND(),最终结果!$I$12,最终结果!$E$12),0)</f>
        <v>117</v>
      </c>
      <c r="G718" t="str">
        <f t="shared" ref="G718:G781" ca="1" si="24">IF(E718=F718,"OT",IF(E718&gt;F718,"Away","Home"))</f>
        <v>Away</v>
      </c>
      <c r="H718" t="str">
        <f ca="1">IF(E718+最终结果!$G$8&gt;simulation!F718,"W","L")</f>
        <v>W</v>
      </c>
      <c r="I718" t="str">
        <f ca="1">IF(F718+最终结果!$G$12&gt;simulation!E718,"W","L")</f>
        <v>L</v>
      </c>
      <c r="J718" t="str">
        <f ca="1">IF((E718+F718)&gt;最终结果!$H$8,"Over","Under")</f>
        <v>Over</v>
      </c>
    </row>
    <row r="719" spans="3:10" x14ac:dyDescent="0.25">
      <c r="C719">
        <v>718</v>
      </c>
      <c r="D719" t="str">
        <f t="shared" ca="1" si="23"/>
        <v>1</v>
      </c>
      <c r="E719">
        <f ca="1">ROUND(NORMINV(RAND(),最终结果!$I$8,最终结果!$E$8),0)</f>
        <v>123</v>
      </c>
      <c r="F719">
        <f ca="1">ROUND(NORMINV(RAND(),最终结果!$I$12,最终结果!$E$12),0)</f>
        <v>121</v>
      </c>
      <c r="G719" t="str">
        <f t="shared" ca="1" si="24"/>
        <v>Away</v>
      </c>
      <c r="H719" t="str">
        <f ca="1">IF(E719+最终结果!$G$8&gt;simulation!F719,"W","L")</f>
        <v>W</v>
      </c>
      <c r="I719" t="str">
        <f ca="1">IF(F719+最终结果!$G$12&gt;simulation!E719,"W","L")</f>
        <v>L</v>
      </c>
      <c r="J719" t="str">
        <f ca="1">IF((E719+F719)&gt;最终结果!$H$8,"Over","Under")</f>
        <v>Over</v>
      </c>
    </row>
    <row r="720" spans="3:10" x14ac:dyDescent="0.25">
      <c r="C720">
        <v>719</v>
      </c>
      <c r="D720" t="str">
        <f t="shared" ca="1" si="23"/>
        <v>-1</v>
      </c>
      <c r="E720">
        <f ca="1">ROUND(NORMINV(RAND(),最终结果!$I$8,最终结果!$E$8),0)</f>
        <v>107</v>
      </c>
      <c r="F720">
        <f ca="1">ROUND(NORMINV(RAND(),最终结果!$I$12,最终结果!$E$12),0)</f>
        <v>109</v>
      </c>
      <c r="G720" t="str">
        <f t="shared" ca="1" si="24"/>
        <v>Home</v>
      </c>
      <c r="H720" t="str">
        <f ca="1">IF(E720+最终结果!$G$8&gt;simulation!F720,"W","L")</f>
        <v>W</v>
      </c>
      <c r="I720" t="str">
        <f ca="1">IF(F720+最终结果!$G$12&gt;simulation!E720,"W","L")</f>
        <v>L</v>
      </c>
      <c r="J720" t="str">
        <f ca="1">IF((E720+F720)&gt;最终结果!$H$8,"Over","Under")</f>
        <v>Under</v>
      </c>
    </row>
    <row r="721" spans="3:10" x14ac:dyDescent="0.25">
      <c r="C721">
        <v>720</v>
      </c>
      <c r="D721" t="str">
        <f t="shared" ca="1" si="23"/>
        <v>1</v>
      </c>
      <c r="E721">
        <f ca="1">ROUND(NORMINV(RAND(),最终结果!$I$8,最终结果!$E$8),0)</f>
        <v>125</v>
      </c>
      <c r="F721">
        <f ca="1">ROUND(NORMINV(RAND(),最终结果!$I$12,最终结果!$E$12),0)</f>
        <v>123</v>
      </c>
      <c r="G721" t="str">
        <f t="shared" ca="1" si="24"/>
        <v>Away</v>
      </c>
      <c r="H721" t="str">
        <f ca="1">IF(E721+最终结果!$G$8&gt;simulation!F721,"W","L")</f>
        <v>W</v>
      </c>
      <c r="I721" t="str">
        <f ca="1">IF(F721+最终结果!$G$12&gt;simulation!E721,"W","L")</f>
        <v>L</v>
      </c>
      <c r="J721" t="str">
        <f ca="1">IF((E721+F721)&gt;最终结果!$H$8,"Over","Under")</f>
        <v>Over</v>
      </c>
    </row>
    <row r="722" spans="3:10" x14ac:dyDescent="0.25">
      <c r="C722">
        <v>721</v>
      </c>
      <c r="D722" t="str">
        <f t="shared" ca="1" si="23"/>
        <v>-1</v>
      </c>
      <c r="E722">
        <f ca="1">ROUND(NORMINV(RAND(),最终结果!$I$8,最终结果!$E$8),0)</f>
        <v>103</v>
      </c>
      <c r="F722">
        <f ca="1">ROUND(NORMINV(RAND(),最终结果!$I$12,最终结果!$E$12),0)</f>
        <v>132</v>
      </c>
      <c r="G722" t="str">
        <f t="shared" ca="1" si="24"/>
        <v>Home</v>
      </c>
      <c r="H722" t="str">
        <f ca="1">IF(E722+最终结果!$G$8&gt;simulation!F722,"W","L")</f>
        <v>L</v>
      </c>
      <c r="I722" t="str">
        <f ca="1">IF(F722+最终结果!$G$12&gt;simulation!E722,"W","L")</f>
        <v>W</v>
      </c>
      <c r="J722" t="str">
        <f ca="1">IF((E722+F722)&gt;最终结果!$H$8,"Over","Under")</f>
        <v>Under</v>
      </c>
    </row>
    <row r="723" spans="3:10" x14ac:dyDescent="0.25">
      <c r="C723">
        <v>722</v>
      </c>
      <c r="D723" t="str">
        <f t="shared" ca="1" si="23"/>
        <v>1</v>
      </c>
      <c r="E723">
        <f ca="1">ROUND(NORMINV(RAND(),最终结果!$I$8,最终结果!$E$8),0)</f>
        <v>126</v>
      </c>
      <c r="F723">
        <f ca="1">ROUND(NORMINV(RAND(),最终结果!$I$12,最终结果!$E$12),0)</f>
        <v>105</v>
      </c>
      <c r="G723" t="str">
        <f t="shared" ca="1" si="24"/>
        <v>Away</v>
      </c>
      <c r="H723" t="str">
        <f ca="1">IF(E723+最终结果!$G$8&gt;simulation!F723,"W","L")</f>
        <v>W</v>
      </c>
      <c r="I723" t="str">
        <f ca="1">IF(F723+最终结果!$G$12&gt;simulation!E723,"W","L")</f>
        <v>L</v>
      </c>
      <c r="J723" t="str">
        <f ca="1">IF((E723+F723)&gt;最终结果!$H$8,"Over","Under")</f>
        <v>Under</v>
      </c>
    </row>
    <row r="724" spans="3:10" x14ac:dyDescent="0.25">
      <c r="C724">
        <v>723</v>
      </c>
      <c r="D724" t="str">
        <f t="shared" ca="1" si="23"/>
        <v>-1</v>
      </c>
      <c r="E724">
        <f ca="1">ROUND(NORMINV(RAND(),最终结果!$I$8,最终结果!$E$8),0)</f>
        <v>88</v>
      </c>
      <c r="F724">
        <f ca="1">ROUND(NORMINV(RAND(),最终结果!$I$12,最终结果!$E$12),0)</f>
        <v>101</v>
      </c>
      <c r="G724" t="str">
        <f t="shared" ca="1" si="24"/>
        <v>Home</v>
      </c>
      <c r="H724" t="str">
        <f ca="1">IF(E724+最终结果!$G$8&gt;simulation!F724,"W","L")</f>
        <v>L</v>
      </c>
      <c r="I724" t="str">
        <f ca="1">IF(F724+最终结果!$G$12&gt;simulation!E724,"W","L")</f>
        <v>W</v>
      </c>
      <c r="J724" t="str">
        <f ca="1">IF((E724+F724)&gt;最终结果!$H$8,"Over","Under")</f>
        <v>Under</v>
      </c>
    </row>
    <row r="725" spans="3:10" x14ac:dyDescent="0.25">
      <c r="C725">
        <v>724</v>
      </c>
      <c r="D725" t="str">
        <f t="shared" ca="1" si="23"/>
        <v>-1</v>
      </c>
      <c r="E725">
        <f ca="1">ROUND(NORMINV(RAND(),最终结果!$I$8,最终结果!$E$8),0)</f>
        <v>99</v>
      </c>
      <c r="F725">
        <f ca="1">ROUND(NORMINV(RAND(),最终结果!$I$12,最终结果!$E$12),0)</f>
        <v>132</v>
      </c>
      <c r="G725" t="str">
        <f t="shared" ca="1" si="24"/>
        <v>Home</v>
      </c>
      <c r="H725" t="str">
        <f ca="1">IF(E725+最终结果!$G$8&gt;simulation!F725,"W","L")</f>
        <v>L</v>
      </c>
      <c r="I725" t="str">
        <f ca="1">IF(F725+最终结果!$G$12&gt;simulation!E725,"W","L")</f>
        <v>W</v>
      </c>
      <c r="J725" t="str">
        <f ca="1">IF((E725+F725)&gt;最终结果!$H$8,"Over","Under")</f>
        <v>Under</v>
      </c>
    </row>
    <row r="726" spans="3:10" x14ac:dyDescent="0.25">
      <c r="C726">
        <v>725</v>
      </c>
      <c r="D726" t="str">
        <f t="shared" ca="1" si="23"/>
        <v>1</v>
      </c>
      <c r="E726">
        <f ca="1">ROUND(NORMINV(RAND(),最终结果!$I$8,最终结果!$E$8),0)</f>
        <v>110</v>
      </c>
      <c r="F726">
        <f ca="1">ROUND(NORMINV(RAND(),最终结果!$I$12,最终结果!$E$12),0)</f>
        <v>105</v>
      </c>
      <c r="G726" t="str">
        <f t="shared" ca="1" si="24"/>
        <v>Away</v>
      </c>
      <c r="H726" t="str">
        <f ca="1">IF(E726+最终结果!$G$8&gt;simulation!F726,"W","L")</f>
        <v>W</v>
      </c>
      <c r="I726" t="str">
        <f ca="1">IF(F726+最终结果!$G$12&gt;simulation!E726,"W","L")</f>
        <v>L</v>
      </c>
      <c r="J726" t="str">
        <f ca="1">IF((E726+F726)&gt;最终结果!$H$8,"Over","Under")</f>
        <v>Under</v>
      </c>
    </row>
    <row r="727" spans="3:10" x14ac:dyDescent="0.25">
      <c r="C727">
        <v>726</v>
      </c>
      <c r="D727" t="str">
        <f t="shared" ca="1" si="23"/>
        <v>1</v>
      </c>
      <c r="E727">
        <f ca="1">ROUND(NORMINV(RAND(),最终结果!$I$8,最终结果!$E$8),0)</f>
        <v>106</v>
      </c>
      <c r="F727">
        <f ca="1">ROUND(NORMINV(RAND(),最终结果!$I$12,最终结果!$E$12),0)</f>
        <v>103</v>
      </c>
      <c r="G727" t="str">
        <f t="shared" ca="1" si="24"/>
        <v>Away</v>
      </c>
      <c r="H727" t="str">
        <f ca="1">IF(E727+最终结果!$G$8&gt;simulation!F727,"W","L")</f>
        <v>W</v>
      </c>
      <c r="I727" t="str">
        <f ca="1">IF(F727+最终结果!$G$12&gt;simulation!E727,"W","L")</f>
        <v>L</v>
      </c>
      <c r="J727" t="str">
        <f ca="1">IF((E727+F727)&gt;最终结果!$H$8,"Over","Under")</f>
        <v>Under</v>
      </c>
    </row>
    <row r="728" spans="3:10" x14ac:dyDescent="0.25">
      <c r="C728">
        <v>727</v>
      </c>
      <c r="D728" t="str">
        <f t="shared" ca="1" si="23"/>
        <v>1</v>
      </c>
      <c r="E728">
        <f ca="1">ROUND(NORMINV(RAND(),最终结果!$I$8,最终结果!$E$8),0)</f>
        <v>107</v>
      </c>
      <c r="F728">
        <f ca="1">ROUND(NORMINV(RAND(),最终结果!$I$12,最终结果!$E$12),0)</f>
        <v>105</v>
      </c>
      <c r="G728" t="str">
        <f t="shared" ca="1" si="24"/>
        <v>Away</v>
      </c>
      <c r="H728" t="str">
        <f ca="1">IF(E728+最终结果!$G$8&gt;simulation!F728,"W","L")</f>
        <v>W</v>
      </c>
      <c r="I728" t="str">
        <f ca="1">IF(F728+最终结果!$G$12&gt;simulation!E728,"W","L")</f>
        <v>L</v>
      </c>
      <c r="J728" t="str">
        <f ca="1">IF((E728+F728)&gt;最终结果!$H$8,"Over","Under")</f>
        <v>Under</v>
      </c>
    </row>
    <row r="729" spans="3:10" x14ac:dyDescent="0.25">
      <c r="C729">
        <v>728</v>
      </c>
      <c r="D729" t="str">
        <f t="shared" ca="1" si="23"/>
        <v>1</v>
      </c>
      <c r="E729">
        <f ca="1">ROUND(NORMINV(RAND(),最终结果!$I$8,最终结果!$E$8),0)</f>
        <v>116</v>
      </c>
      <c r="F729">
        <f ca="1">ROUND(NORMINV(RAND(),最终结果!$I$12,最终结果!$E$12),0)</f>
        <v>103</v>
      </c>
      <c r="G729" t="str">
        <f t="shared" ca="1" si="24"/>
        <v>Away</v>
      </c>
      <c r="H729" t="str">
        <f ca="1">IF(E729+最终结果!$G$8&gt;simulation!F729,"W","L")</f>
        <v>W</v>
      </c>
      <c r="I729" t="str">
        <f ca="1">IF(F729+最终结果!$G$12&gt;simulation!E729,"W","L")</f>
        <v>L</v>
      </c>
      <c r="J729" t="str">
        <f ca="1">IF((E729+F729)&gt;最终结果!$H$8,"Over","Under")</f>
        <v>Under</v>
      </c>
    </row>
    <row r="730" spans="3:10" x14ac:dyDescent="0.25">
      <c r="C730">
        <v>729</v>
      </c>
      <c r="D730" t="str">
        <f t="shared" ca="1" si="23"/>
        <v>-1</v>
      </c>
      <c r="E730">
        <f ca="1">ROUND(NORMINV(RAND(),最终结果!$I$8,最终结果!$E$8),0)</f>
        <v>104</v>
      </c>
      <c r="F730">
        <f ca="1">ROUND(NORMINV(RAND(),最终结果!$I$12,最终结果!$E$12),0)</f>
        <v>140</v>
      </c>
      <c r="G730" t="str">
        <f t="shared" ca="1" si="24"/>
        <v>Home</v>
      </c>
      <c r="H730" t="str">
        <f ca="1">IF(E730+最终结果!$G$8&gt;simulation!F730,"W","L")</f>
        <v>L</v>
      </c>
      <c r="I730" t="str">
        <f ca="1">IF(F730+最终结果!$G$12&gt;simulation!E730,"W","L")</f>
        <v>W</v>
      </c>
      <c r="J730" t="str">
        <f ca="1">IF((E730+F730)&gt;最终结果!$H$8,"Over","Under")</f>
        <v>Over</v>
      </c>
    </row>
    <row r="731" spans="3:10" x14ac:dyDescent="0.25">
      <c r="C731">
        <v>730</v>
      </c>
      <c r="D731" t="str">
        <f t="shared" ca="1" si="23"/>
        <v>1</v>
      </c>
      <c r="E731">
        <f ca="1">ROUND(NORMINV(RAND(),最终结果!$I$8,最终结果!$E$8),0)</f>
        <v>122</v>
      </c>
      <c r="F731">
        <f ca="1">ROUND(NORMINV(RAND(),最终结果!$I$12,最终结果!$E$12),0)</f>
        <v>116</v>
      </c>
      <c r="G731" t="str">
        <f t="shared" ca="1" si="24"/>
        <v>Away</v>
      </c>
      <c r="H731" t="str">
        <f ca="1">IF(E731+最终结果!$G$8&gt;simulation!F731,"W","L")</f>
        <v>W</v>
      </c>
      <c r="I731" t="str">
        <f ca="1">IF(F731+最终结果!$G$12&gt;simulation!E731,"W","L")</f>
        <v>L</v>
      </c>
      <c r="J731" t="str">
        <f ca="1">IF((E731+F731)&gt;最终结果!$H$8,"Over","Under")</f>
        <v>Over</v>
      </c>
    </row>
    <row r="732" spans="3:10" x14ac:dyDescent="0.25">
      <c r="C732">
        <v>731</v>
      </c>
      <c r="D732" t="str">
        <f t="shared" ca="1" si="23"/>
        <v>1</v>
      </c>
      <c r="E732">
        <f ca="1">ROUND(NORMINV(RAND(),最终结果!$I$8,最终结果!$E$8),0)</f>
        <v>135</v>
      </c>
      <c r="F732">
        <f ca="1">ROUND(NORMINV(RAND(),最终结果!$I$12,最终结果!$E$12),0)</f>
        <v>96</v>
      </c>
      <c r="G732" t="str">
        <f t="shared" ca="1" si="24"/>
        <v>Away</v>
      </c>
      <c r="H732" t="str">
        <f ca="1">IF(E732+最终结果!$G$8&gt;simulation!F732,"W","L")</f>
        <v>W</v>
      </c>
      <c r="I732" t="str">
        <f ca="1">IF(F732+最终结果!$G$12&gt;simulation!E732,"W","L")</f>
        <v>L</v>
      </c>
      <c r="J732" t="str">
        <f ca="1">IF((E732+F732)&gt;最终结果!$H$8,"Over","Under")</f>
        <v>Under</v>
      </c>
    </row>
    <row r="733" spans="3:10" x14ac:dyDescent="0.25">
      <c r="C733">
        <v>732</v>
      </c>
      <c r="D733" t="str">
        <f t="shared" ca="1" si="23"/>
        <v>-1</v>
      </c>
      <c r="E733">
        <f ca="1">ROUND(NORMINV(RAND(),最终结果!$I$8,最终结果!$E$8),0)</f>
        <v>97</v>
      </c>
      <c r="F733">
        <f ca="1">ROUND(NORMINV(RAND(),最终结果!$I$12,最终结果!$E$12),0)</f>
        <v>122</v>
      </c>
      <c r="G733" t="str">
        <f t="shared" ca="1" si="24"/>
        <v>Home</v>
      </c>
      <c r="H733" t="str">
        <f ca="1">IF(E733+最终结果!$G$8&gt;simulation!F733,"W","L")</f>
        <v>L</v>
      </c>
      <c r="I733" t="str">
        <f ca="1">IF(F733+最终结果!$G$12&gt;simulation!E733,"W","L")</f>
        <v>W</v>
      </c>
      <c r="J733" t="str">
        <f ca="1">IF((E733+F733)&gt;最终结果!$H$8,"Over","Under")</f>
        <v>Under</v>
      </c>
    </row>
    <row r="734" spans="3:10" x14ac:dyDescent="0.25">
      <c r="C734">
        <v>733</v>
      </c>
      <c r="D734" t="str">
        <f t="shared" ca="1" si="23"/>
        <v>1</v>
      </c>
      <c r="E734">
        <f ca="1">ROUND(NORMINV(RAND(),最终结果!$I$8,最终结果!$E$8),0)</f>
        <v>133</v>
      </c>
      <c r="F734">
        <f ca="1">ROUND(NORMINV(RAND(),最终结果!$I$12,最终结果!$E$12),0)</f>
        <v>110</v>
      </c>
      <c r="G734" t="str">
        <f t="shared" ca="1" si="24"/>
        <v>Away</v>
      </c>
      <c r="H734" t="str">
        <f ca="1">IF(E734+最终结果!$G$8&gt;simulation!F734,"W","L")</f>
        <v>W</v>
      </c>
      <c r="I734" t="str">
        <f ca="1">IF(F734+最终结果!$G$12&gt;simulation!E734,"W","L")</f>
        <v>L</v>
      </c>
      <c r="J734" t="str">
        <f ca="1">IF((E734+F734)&gt;最终结果!$H$8,"Over","Under")</f>
        <v>Over</v>
      </c>
    </row>
    <row r="735" spans="3:10" x14ac:dyDescent="0.25">
      <c r="C735">
        <v>734</v>
      </c>
      <c r="D735" t="str">
        <f t="shared" ca="1" si="23"/>
        <v>1</v>
      </c>
      <c r="E735">
        <f ca="1">ROUND(NORMINV(RAND(),最终结果!$I$8,最终结果!$E$8),0)</f>
        <v>123</v>
      </c>
      <c r="F735">
        <f ca="1">ROUND(NORMINV(RAND(),最终结果!$I$12,最终结果!$E$12),0)</f>
        <v>111</v>
      </c>
      <c r="G735" t="str">
        <f t="shared" ca="1" si="24"/>
        <v>Away</v>
      </c>
      <c r="H735" t="str">
        <f ca="1">IF(E735+最终结果!$G$8&gt;simulation!F735,"W","L")</f>
        <v>W</v>
      </c>
      <c r="I735" t="str">
        <f ca="1">IF(F735+最终结果!$G$12&gt;simulation!E735,"W","L")</f>
        <v>L</v>
      </c>
      <c r="J735" t="str">
        <f ca="1">IF((E735+F735)&gt;最终结果!$H$8,"Over","Under")</f>
        <v>Under</v>
      </c>
    </row>
    <row r="736" spans="3:10" x14ac:dyDescent="0.25">
      <c r="C736">
        <v>735</v>
      </c>
      <c r="D736" t="str">
        <f t="shared" ca="1" si="23"/>
        <v>-1</v>
      </c>
      <c r="E736">
        <f ca="1">ROUND(NORMINV(RAND(),最终结果!$I$8,最终结果!$E$8),0)</f>
        <v>100</v>
      </c>
      <c r="F736">
        <f ca="1">ROUND(NORMINV(RAND(),最终结果!$I$12,最终结果!$E$12),0)</f>
        <v>107</v>
      </c>
      <c r="G736" t="str">
        <f t="shared" ca="1" si="24"/>
        <v>Home</v>
      </c>
      <c r="H736" t="str">
        <f ca="1">IF(E736+最终结果!$G$8&gt;simulation!F736,"W","L")</f>
        <v>L</v>
      </c>
      <c r="I736" t="str">
        <f ca="1">IF(F736+最终结果!$G$12&gt;simulation!E736,"W","L")</f>
        <v>W</v>
      </c>
      <c r="J736" t="str">
        <f ca="1">IF((E736+F736)&gt;最终结果!$H$8,"Over","Under")</f>
        <v>Under</v>
      </c>
    </row>
    <row r="737" spans="3:10" x14ac:dyDescent="0.25">
      <c r="C737">
        <v>736</v>
      </c>
      <c r="D737" t="str">
        <f t="shared" ca="1" si="23"/>
        <v>-1</v>
      </c>
      <c r="E737">
        <f ca="1">ROUND(NORMINV(RAND(),最终结果!$I$8,最终结果!$E$8),0)</f>
        <v>98</v>
      </c>
      <c r="F737">
        <f ca="1">ROUND(NORMINV(RAND(),最终结果!$I$12,最终结果!$E$12),0)</f>
        <v>115</v>
      </c>
      <c r="G737" t="str">
        <f t="shared" ca="1" si="24"/>
        <v>Home</v>
      </c>
      <c r="H737" t="str">
        <f ca="1">IF(E737+最终结果!$G$8&gt;simulation!F737,"W","L")</f>
        <v>L</v>
      </c>
      <c r="I737" t="str">
        <f ca="1">IF(F737+最终结果!$G$12&gt;simulation!E737,"W","L")</f>
        <v>W</v>
      </c>
      <c r="J737" t="str">
        <f ca="1">IF((E737+F737)&gt;最终结果!$H$8,"Over","Under")</f>
        <v>Under</v>
      </c>
    </row>
    <row r="738" spans="3:10" x14ac:dyDescent="0.25">
      <c r="C738">
        <v>737</v>
      </c>
      <c r="D738" t="str">
        <f t="shared" ca="1" si="23"/>
        <v>1</v>
      </c>
      <c r="E738">
        <f ca="1">ROUND(NORMINV(RAND(),最终结果!$I$8,最终结果!$E$8),0)</f>
        <v>137</v>
      </c>
      <c r="F738">
        <f ca="1">ROUND(NORMINV(RAND(),最终结果!$I$12,最终结果!$E$12),0)</f>
        <v>130</v>
      </c>
      <c r="G738" t="str">
        <f t="shared" ca="1" si="24"/>
        <v>Away</v>
      </c>
      <c r="H738" t="str">
        <f ca="1">IF(E738+最终结果!$G$8&gt;simulation!F738,"W","L")</f>
        <v>W</v>
      </c>
      <c r="I738" t="str">
        <f ca="1">IF(F738+最终结果!$G$12&gt;simulation!E738,"W","L")</f>
        <v>L</v>
      </c>
      <c r="J738" t="str">
        <f ca="1">IF((E738+F738)&gt;最终结果!$H$8,"Over","Under")</f>
        <v>Over</v>
      </c>
    </row>
    <row r="739" spans="3:10" x14ac:dyDescent="0.25">
      <c r="C739">
        <v>738</v>
      </c>
      <c r="D739" t="str">
        <f t="shared" ca="1" si="23"/>
        <v>1</v>
      </c>
      <c r="E739">
        <f ca="1">ROUND(NORMINV(RAND(),最终结果!$I$8,最终结果!$E$8),0)</f>
        <v>123</v>
      </c>
      <c r="F739">
        <f ca="1">ROUND(NORMINV(RAND(),最终结果!$I$12,最终结果!$E$12),0)</f>
        <v>106</v>
      </c>
      <c r="G739" t="str">
        <f t="shared" ca="1" si="24"/>
        <v>Away</v>
      </c>
      <c r="H739" t="str">
        <f ca="1">IF(E739+最终结果!$G$8&gt;simulation!F739,"W","L")</f>
        <v>W</v>
      </c>
      <c r="I739" t="str">
        <f ca="1">IF(F739+最终结果!$G$12&gt;simulation!E739,"W","L")</f>
        <v>L</v>
      </c>
      <c r="J739" t="str">
        <f ca="1">IF((E739+F739)&gt;最终结果!$H$8,"Over","Under")</f>
        <v>Under</v>
      </c>
    </row>
    <row r="740" spans="3:10" x14ac:dyDescent="0.25">
      <c r="C740">
        <v>739</v>
      </c>
      <c r="D740" t="str">
        <f t="shared" ca="1" si="23"/>
        <v>-1</v>
      </c>
      <c r="E740">
        <f ca="1">ROUND(NORMINV(RAND(),最终结果!$I$8,最终结果!$E$8),0)</f>
        <v>98</v>
      </c>
      <c r="F740">
        <f ca="1">ROUND(NORMINV(RAND(),最终结果!$I$12,最终结果!$E$12),0)</f>
        <v>117</v>
      </c>
      <c r="G740" t="str">
        <f t="shared" ca="1" si="24"/>
        <v>Home</v>
      </c>
      <c r="H740" t="str">
        <f ca="1">IF(E740+最终结果!$G$8&gt;simulation!F740,"W","L")</f>
        <v>L</v>
      </c>
      <c r="I740" t="str">
        <f ca="1">IF(F740+最终结果!$G$12&gt;simulation!E740,"W","L")</f>
        <v>W</v>
      </c>
      <c r="J740" t="str">
        <f ca="1">IF((E740+F740)&gt;最终结果!$H$8,"Over","Under")</f>
        <v>Under</v>
      </c>
    </row>
    <row r="741" spans="3:10" x14ac:dyDescent="0.25">
      <c r="C741">
        <v>740</v>
      </c>
      <c r="D741" t="str">
        <f t="shared" ca="1" si="23"/>
        <v>-1</v>
      </c>
      <c r="E741">
        <f ca="1">ROUND(NORMINV(RAND(),最终结果!$I$8,最终结果!$E$8),0)</f>
        <v>103</v>
      </c>
      <c r="F741">
        <f ca="1">ROUND(NORMINV(RAND(),最终结果!$I$12,最终结果!$E$12),0)</f>
        <v>136</v>
      </c>
      <c r="G741" t="str">
        <f t="shared" ca="1" si="24"/>
        <v>Home</v>
      </c>
      <c r="H741" t="str">
        <f ca="1">IF(E741+最终结果!$G$8&gt;simulation!F741,"W","L")</f>
        <v>L</v>
      </c>
      <c r="I741" t="str">
        <f ca="1">IF(F741+最终结果!$G$12&gt;simulation!E741,"W","L")</f>
        <v>W</v>
      </c>
      <c r="J741" t="str">
        <f ca="1">IF((E741+F741)&gt;最终结果!$H$8,"Over","Under")</f>
        <v>Over</v>
      </c>
    </row>
    <row r="742" spans="3:10" x14ac:dyDescent="0.25">
      <c r="C742">
        <v>741</v>
      </c>
      <c r="D742" t="str">
        <f t="shared" ca="1" si="23"/>
        <v>1</v>
      </c>
      <c r="E742">
        <f ca="1">ROUND(NORMINV(RAND(),最终结果!$I$8,最终结果!$E$8),0)</f>
        <v>111</v>
      </c>
      <c r="F742">
        <f ca="1">ROUND(NORMINV(RAND(),最终结果!$I$12,最终结果!$E$12),0)</f>
        <v>109</v>
      </c>
      <c r="G742" t="str">
        <f t="shared" ca="1" si="24"/>
        <v>Away</v>
      </c>
      <c r="H742" t="str">
        <f ca="1">IF(E742+最终结果!$G$8&gt;simulation!F742,"W","L")</f>
        <v>W</v>
      </c>
      <c r="I742" t="str">
        <f ca="1">IF(F742+最终结果!$G$12&gt;simulation!E742,"W","L")</f>
        <v>L</v>
      </c>
      <c r="J742" t="str">
        <f ca="1">IF((E742+F742)&gt;最终结果!$H$8,"Over","Under")</f>
        <v>Under</v>
      </c>
    </row>
    <row r="743" spans="3:10" x14ac:dyDescent="0.25">
      <c r="C743">
        <v>742</v>
      </c>
      <c r="D743" t="str">
        <f t="shared" ca="1" si="23"/>
        <v>-1</v>
      </c>
      <c r="E743">
        <f ca="1">ROUND(NORMINV(RAND(),最终结果!$I$8,最终结果!$E$8),0)</f>
        <v>115</v>
      </c>
      <c r="F743">
        <f ca="1">ROUND(NORMINV(RAND(),最终结果!$I$12,最终结果!$E$12),0)</f>
        <v>127</v>
      </c>
      <c r="G743" t="str">
        <f t="shared" ca="1" si="24"/>
        <v>Home</v>
      </c>
      <c r="H743" t="str">
        <f ca="1">IF(E743+最终结果!$G$8&gt;simulation!F743,"W","L")</f>
        <v>L</v>
      </c>
      <c r="I743" t="str">
        <f ca="1">IF(F743+最终结果!$G$12&gt;simulation!E743,"W","L")</f>
        <v>W</v>
      </c>
      <c r="J743" t="str">
        <f ca="1">IF((E743+F743)&gt;最终结果!$H$8,"Over","Under")</f>
        <v>Over</v>
      </c>
    </row>
    <row r="744" spans="3:10" x14ac:dyDescent="0.25">
      <c r="C744">
        <v>743</v>
      </c>
      <c r="D744" t="str">
        <f t="shared" ca="1" si="23"/>
        <v>-1</v>
      </c>
      <c r="E744">
        <f ca="1">ROUND(NORMINV(RAND(),最终结果!$I$8,最终结果!$E$8),0)</f>
        <v>108</v>
      </c>
      <c r="F744">
        <f ca="1">ROUND(NORMINV(RAND(),最终结果!$I$12,最终结果!$E$12),0)</f>
        <v>122</v>
      </c>
      <c r="G744" t="str">
        <f t="shared" ca="1" si="24"/>
        <v>Home</v>
      </c>
      <c r="H744" t="str">
        <f ca="1">IF(E744+最终结果!$G$8&gt;simulation!F744,"W","L")</f>
        <v>L</v>
      </c>
      <c r="I744" t="str">
        <f ca="1">IF(F744+最终结果!$G$12&gt;simulation!E744,"W","L")</f>
        <v>W</v>
      </c>
      <c r="J744" t="str">
        <f ca="1">IF((E744+F744)&gt;最终结果!$H$8,"Over","Under")</f>
        <v>Under</v>
      </c>
    </row>
    <row r="745" spans="3:10" x14ac:dyDescent="0.25">
      <c r="C745">
        <v>744</v>
      </c>
      <c r="D745" t="str">
        <f t="shared" ca="1" si="23"/>
        <v>1</v>
      </c>
      <c r="E745">
        <f ca="1">ROUND(NORMINV(RAND(),最终结果!$I$8,最终结果!$E$8),0)</f>
        <v>124</v>
      </c>
      <c r="F745">
        <f ca="1">ROUND(NORMINV(RAND(),最终结果!$I$12,最终结果!$E$12),0)</f>
        <v>111</v>
      </c>
      <c r="G745" t="str">
        <f t="shared" ca="1" si="24"/>
        <v>Away</v>
      </c>
      <c r="H745" t="str">
        <f ca="1">IF(E745+最终结果!$G$8&gt;simulation!F745,"W","L")</f>
        <v>W</v>
      </c>
      <c r="I745" t="str">
        <f ca="1">IF(F745+最终结果!$G$12&gt;simulation!E745,"W","L")</f>
        <v>L</v>
      </c>
      <c r="J745" t="str">
        <f ca="1">IF((E745+F745)&gt;最终结果!$H$8,"Over","Under")</f>
        <v>Under</v>
      </c>
    </row>
    <row r="746" spans="3:10" x14ac:dyDescent="0.25">
      <c r="C746">
        <v>745</v>
      </c>
      <c r="D746" t="str">
        <f t="shared" ca="1" si="23"/>
        <v>1</v>
      </c>
      <c r="E746">
        <f ca="1">ROUND(NORMINV(RAND(),最终结果!$I$8,最终结果!$E$8),0)</f>
        <v>120</v>
      </c>
      <c r="F746">
        <f ca="1">ROUND(NORMINV(RAND(),最终结果!$I$12,最终结果!$E$12),0)</f>
        <v>105</v>
      </c>
      <c r="G746" t="str">
        <f t="shared" ca="1" si="24"/>
        <v>Away</v>
      </c>
      <c r="H746" t="str">
        <f ca="1">IF(E746+最终结果!$G$8&gt;simulation!F746,"W","L")</f>
        <v>W</v>
      </c>
      <c r="I746" t="str">
        <f ca="1">IF(F746+最终结果!$G$12&gt;simulation!E746,"W","L")</f>
        <v>L</v>
      </c>
      <c r="J746" t="str">
        <f ca="1">IF((E746+F746)&gt;最终结果!$H$8,"Over","Under")</f>
        <v>Under</v>
      </c>
    </row>
    <row r="747" spans="3:10" x14ac:dyDescent="0.25">
      <c r="C747">
        <v>746</v>
      </c>
      <c r="D747" t="str">
        <f t="shared" ca="1" si="23"/>
        <v>-1</v>
      </c>
      <c r="E747">
        <f ca="1">ROUND(NORMINV(RAND(),最终结果!$I$8,最终结果!$E$8),0)</f>
        <v>105</v>
      </c>
      <c r="F747">
        <f ca="1">ROUND(NORMINV(RAND(),最终结果!$I$12,最终结果!$E$12),0)</f>
        <v>107</v>
      </c>
      <c r="G747" t="str">
        <f t="shared" ca="1" si="24"/>
        <v>Home</v>
      </c>
      <c r="H747" t="str">
        <f ca="1">IF(E747+最终结果!$G$8&gt;simulation!F747,"W","L")</f>
        <v>W</v>
      </c>
      <c r="I747" t="str">
        <f ca="1">IF(F747+最终结果!$G$12&gt;simulation!E747,"W","L")</f>
        <v>L</v>
      </c>
      <c r="J747" t="str">
        <f ca="1">IF((E747+F747)&gt;最终结果!$H$8,"Over","Under")</f>
        <v>Under</v>
      </c>
    </row>
    <row r="748" spans="3:10" x14ac:dyDescent="0.25">
      <c r="C748">
        <v>747</v>
      </c>
      <c r="D748" t="str">
        <f t="shared" ca="1" si="23"/>
        <v>-1</v>
      </c>
      <c r="E748">
        <f ca="1">ROUND(NORMINV(RAND(),最终结果!$I$8,最终结果!$E$8),0)</f>
        <v>83</v>
      </c>
      <c r="F748">
        <f ca="1">ROUND(NORMINV(RAND(),最终结果!$I$12,最终结果!$E$12),0)</f>
        <v>132</v>
      </c>
      <c r="G748" t="str">
        <f t="shared" ca="1" si="24"/>
        <v>Home</v>
      </c>
      <c r="H748" t="str">
        <f ca="1">IF(E748+最终结果!$G$8&gt;simulation!F748,"W","L")</f>
        <v>L</v>
      </c>
      <c r="I748" t="str">
        <f ca="1">IF(F748+最终结果!$G$12&gt;simulation!E748,"W","L")</f>
        <v>W</v>
      </c>
      <c r="J748" t="str">
        <f ca="1">IF((E748+F748)&gt;最终结果!$H$8,"Over","Under")</f>
        <v>Under</v>
      </c>
    </row>
    <row r="749" spans="3:10" x14ac:dyDescent="0.25">
      <c r="C749">
        <v>748</v>
      </c>
      <c r="D749" t="str">
        <f t="shared" ca="1" si="23"/>
        <v>1</v>
      </c>
      <c r="E749">
        <f ca="1">ROUND(NORMINV(RAND(),最终结果!$I$8,最终结果!$E$8),0)</f>
        <v>140</v>
      </c>
      <c r="F749">
        <f ca="1">ROUND(NORMINV(RAND(),最终结果!$I$12,最终结果!$E$12),0)</f>
        <v>97</v>
      </c>
      <c r="G749" t="str">
        <f t="shared" ca="1" si="24"/>
        <v>Away</v>
      </c>
      <c r="H749" t="str">
        <f ca="1">IF(E749+最终结果!$G$8&gt;simulation!F749,"W","L")</f>
        <v>W</v>
      </c>
      <c r="I749" t="str">
        <f ca="1">IF(F749+最终结果!$G$12&gt;simulation!E749,"W","L")</f>
        <v>L</v>
      </c>
      <c r="J749" t="str">
        <f ca="1">IF((E749+F749)&gt;最终结果!$H$8,"Over","Under")</f>
        <v>Under</v>
      </c>
    </row>
    <row r="750" spans="3:10" x14ac:dyDescent="0.25">
      <c r="C750">
        <v>749</v>
      </c>
      <c r="D750" t="str">
        <f t="shared" ca="1" si="23"/>
        <v>-1</v>
      </c>
      <c r="E750">
        <f ca="1">ROUND(NORMINV(RAND(),最终结果!$I$8,最终结果!$E$8),0)</f>
        <v>104</v>
      </c>
      <c r="F750">
        <f ca="1">ROUND(NORMINV(RAND(),最终结果!$I$12,最终结果!$E$12),0)</f>
        <v>118</v>
      </c>
      <c r="G750" t="str">
        <f t="shared" ca="1" si="24"/>
        <v>Home</v>
      </c>
      <c r="H750" t="str">
        <f ca="1">IF(E750+最终结果!$G$8&gt;simulation!F750,"W","L")</f>
        <v>L</v>
      </c>
      <c r="I750" t="str">
        <f ca="1">IF(F750+最终结果!$G$12&gt;simulation!E750,"W","L")</f>
        <v>W</v>
      </c>
      <c r="J750" t="str">
        <f ca="1">IF((E750+F750)&gt;最终结果!$H$8,"Over","Under")</f>
        <v>Under</v>
      </c>
    </row>
    <row r="751" spans="3:10" x14ac:dyDescent="0.25">
      <c r="C751">
        <v>750</v>
      </c>
      <c r="D751" t="str">
        <f t="shared" ca="1" si="23"/>
        <v>1</v>
      </c>
      <c r="E751">
        <f ca="1">ROUND(NORMINV(RAND(),最终结果!$I$8,最终结果!$E$8),0)</f>
        <v>117</v>
      </c>
      <c r="F751">
        <f ca="1">ROUND(NORMINV(RAND(),最终结果!$I$12,最终结果!$E$12),0)</f>
        <v>112</v>
      </c>
      <c r="G751" t="str">
        <f t="shared" ca="1" si="24"/>
        <v>Away</v>
      </c>
      <c r="H751" t="str">
        <f ca="1">IF(E751+最终结果!$G$8&gt;simulation!F751,"W","L")</f>
        <v>W</v>
      </c>
      <c r="I751" t="str">
        <f ca="1">IF(F751+最终结果!$G$12&gt;simulation!E751,"W","L")</f>
        <v>L</v>
      </c>
      <c r="J751" t="str">
        <f ca="1">IF((E751+F751)&gt;最终结果!$H$8,"Over","Under")</f>
        <v>Under</v>
      </c>
    </row>
    <row r="752" spans="3:10" x14ac:dyDescent="0.25">
      <c r="C752">
        <v>751</v>
      </c>
      <c r="D752" t="str">
        <f t="shared" ca="1" si="23"/>
        <v>-1</v>
      </c>
      <c r="E752">
        <f ca="1">ROUND(NORMINV(RAND(),最终结果!$I$8,最终结果!$E$8),0)</f>
        <v>107</v>
      </c>
      <c r="F752">
        <f ca="1">ROUND(NORMINV(RAND(),最终结果!$I$12,最终结果!$E$12),0)</f>
        <v>145</v>
      </c>
      <c r="G752" t="str">
        <f t="shared" ca="1" si="24"/>
        <v>Home</v>
      </c>
      <c r="H752" t="str">
        <f ca="1">IF(E752+最终结果!$G$8&gt;simulation!F752,"W","L")</f>
        <v>L</v>
      </c>
      <c r="I752" t="str">
        <f ca="1">IF(F752+最终结果!$G$12&gt;simulation!E752,"W","L")</f>
        <v>W</v>
      </c>
      <c r="J752" t="str">
        <f ca="1">IF((E752+F752)&gt;最终结果!$H$8,"Over","Under")</f>
        <v>Over</v>
      </c>
    </row>
    <row r="753" spans="3:10" x14ac:dyDescent="0.25">
      <c r="C753">
        <v>752</v>
      </c>
      <c r="D753" t="str">
        <f t="shared" ca="1" si="23"/>
        <v>-1</v>
      </c>
      <c r="E753">
        <f ca="1">ROUND(NORMINV(RAND(),最终结果!$I$8,最终结果!$E$8),0)</f>
        <v>101</v>
      </c>
      <c r="F753">
        <f ca="1">ROUND(NORMINV(RAND(),最终结果!$I$12,最终结果!$E$12),0)</f>
        <v>124</v>
      </c>
      <c r="G753" t="str">
        <f t="shared" ca="1" si="24"/>
        <v>Home</v>
      </c>
      <c r="H753" t="str">
        <f ca="1">IF(E753+最终结果!$G$8&gt;simulation!F753,"W","L")</f>
        <v>L</v>
      </c>
      <c r="I753" t="str">
        <f ca="1">IF(F753+最终结果!$G$12&gt;simulation!E753,"W","L")</f>
        <v>W</v>
      </c>
      <c r="J753" t="str">
        <f ca="1">IF((E753+F753)&gt;最终结果!$H$8,"Over","Under")</f>
        <v>Under</v>
      </c>
    </row>
    <row r="754" spans="3:10" x14ac:dyDescent="0.25">
      <c r="C754">
        <v>753</v>
      </c>
      <c r="D754" t="str">
        <f t="shared" ca="1" si="23"/>
        <v>-1</v>
      </c>
      <c r="E754">
        <f ca="1">ROUND(NORMINV(RAND(),最终结果!$I$8,最终结果!$E$8),0)</f>
        <v>103</v>
      </c>
      <c r="F754">
        <f ca="1">ROUND(NORMINV(RAND(),最终结果!$I$12,最终结果!$E$12),0)</f>
        <v>133</v>
      </c>
      <c r="G754" t="str">
        <f t="shared" ca="1" si="24"/>
        <v>Home</v>
      </c>
      <c r="H754" t="str">
        <f ca="1">IF(E754+最终结果!$G$8&gt;simulation!F754,"W","L")</f>
        <v>L</v>
      </c>
      <c r="I754" t="str">
        <f ca="1">IF(F754+最终结果!$G$12&gt;simulation!E754,"W","L")</f>
        <v>W</v>
      </c>
      <c r="J754" t="str">
        <f ca="1">IF((E754+F754)&gt;最终结果!$H$8,"Over","Under")</f>
        <v>Under</v>
      </c>
    </row>
    <row r="755" spans="3:10" x14ac:dyDescent="0.25">
      <c r="C755">
        <v>754</v>
      </c>
      <c r="D755" t="str">
        <f t="shared" ca="1" si="23"/>
        <v>1</v>
      </c>
      <c r="E755">
        <f ca="1">ROUND(NORMINV(RAND(),最终结果!$I$8,最终结果!$E$8),0)</f>
        <v>113</v>
      </c>
      <c r="F755">
        <f ca="1">ROUND(NORMINV(RAND(),最终结果!$I$12,最终结果!$E$12),0)</f>
        <v>94</v>
      </c>
      <c r="G755" t="str">
        <f t="shared" ca="1" si="24"/>
        <v>Away</v>
      </c>
      <c r="H755" t="str">
        <f ca="1">IF(E755+最终结果!$G$8&gt;simulation!F755,"W","L")</f>
        <v>W</v>
      </c>
      <c r="I755" t="str">
        <f ca="1">IF(F755+最终结果!$G$12&gt;simulation!E755,"W","L")</f>
        <v>L</v>
      </c>
      <c r="J755" t="str">
        <f ca="1">IF((E755+F755)&gt;最终结果!$H$8,"Over","Under")</f>
        <v>Under</v>
      </c>
    </row>
    <row r="756" spans="3:10" x14ac:dyDescent="0.25">
      <c r="C756">
        <v>755</v>
      </c>
      <c r="D756" t="str">
        <f t="shared" ca="1" si="23"/>
        <v>-1</v>
      </c>
      <c r="E756">
        <f ca="1">ROUND(NORMINV(RAND(),最终结果!$I$8,最终结果!$E$8),0)</f>
        <v>132</v>
      </c>
      <c r="F756">
        <f ca="1">ROUND(NORMINV(RAND(),最终结果!$I$12,最终结果!$E$12),0)</f>
        <v>134</v>
      </c>
      <c r="G756" t="str">
        <f t="shared" ca="1" si="24"/>
        <v>Home</v>
      </c>
      <c r="H756" t="str">
        <f ca="1">IF(E756+最终结果!$G$8&gt;simulation!F756,"W","L")</f>
        <v>W</v>
      </c>
      <c r="I756" t="str">
        <f ca="1">IF(F756+最终结果!$G$12&gt;simulation!E756,"W","L")</f>
        <v>L</v>
      </c>
      <c r="J756" t="str">
        <f ca="1">IF((E756+F756)&gt;最终结果!$H$8,"Over","Under")</f>
        <v>Over</v>
      </c>
    </row>
    <row r="757" spans="3:10" x14ac:dyDescent="0.25">
      <c r="C757">
        <v>756</v>
      </c>
      <c r="D757" t="str">
        <f t="shared" ca="1" si="23"/>
        <v>1</v>
      </c>
      <c r="E757">
        <f ca="1">ROUND(NORMINV(RAND(),最终结果!$I$8,最终结果!$E$8),0)</f>
        <v>121</v>
      </c>
      <c r="F757">
        <f ca="1">ROUND(NORMINV(RAND(),最终结果!$I$12,最终结果!$E$12),0)</f>
        <v>117</v>
      </c>
      <c r="G757" t="str">
        <f t="shared" ca="1" si="24"/>
        <v>Away</v>
      </c>
      <c r="H757" t="str">
        <f ca="1">IF(E757+最终结果!$G$8&gt;simulation!F757,"W","L")</f>
        <v>W</v>
      </c>
      <c r="I757" t="str">
        <f ca="1">IF(F757+最终结果!$G$12&gt;simulation!E757,"W","L")</f>
        <v>L</v>
      </c>
      <c r="J757" t="str">
        <f ca="1">IF((E757+F757)&gt;最终结果!$H$8,"Over","Under")</f>
        <v>Over</v>
      </c>
    </row>
    <row r="758" spans="3:10" x14ac:dyDescent="0.25">
      <c r="C758">
        <v>757</v>
      </c>
      <c r="D758" t="str">
        <f t="shared" ca="1" si="23"/>
        <v>-1</v>
      </c>
      <c r="E758">
        <f ca="1">ROUND(NORMINV(RAND(),最终结果!$I$8,最终结果!$E$8),0)</f>
        <v>93</v>
      </c>
      <c r="F758">
        <f ca="1">ROUND(NORMINV(RAND(),最终结果!$I$12,最终结果!$E$12),0)</f>
        <v>132</v>
      </c>
      <c r="G758" t="str">
        <f t="shared" ca="1" si="24"/>
        <v>Home</v>
      </c>
      <c r="H758" t="str">
        <f ca="1">IF(E758+最终结果!$G$8&gt;simulation!F758,"W","L")</f>
        <v>L</v>
      </c>
      <c r="I758" t="str">
        <f ca="1">IF(F758+最终结果!$G$12&gt;simulation!E758,"W","L")</f>
        <v>W</v>
      </c>
      <c r="J758" t="str">
        <f ca="1">IF((E758+F758)&gt;最终结果!$H$8,"Over","Under")</f>
        <v>Under</v>
      </c>
    </row>
    <row r="759" spans="3:10" x14ac:dyDescent="0.25">
      <c r="C759">
        <v>758</v>
      </c>
      <c r="D759" t="str">
        <f t="shared" ca="1" si="23"/>
        <v>1</v>
      </c>
      <c r="E759">
        <f ca="1">ROUND(NORMINV(RAND(),最终结果!$I$8,最终结果!$E$8),0)</f>
        <v>127</v>
      </c>
      <c r="F759">
        <f ca="1">ROUND(NORMINV(RAND(),最终结果!$I$12,最终结果!$E$12),0)</f>
        <v>117</v>
      </c>
      <c r="G759" t="str">
        <f t="shared" ca="1" si="24"/>
        <v>Away</v>
      </c>
      <c r="H759" t="str">
        <f ca="1">IF(E759+最终结果!$G$8&gt;simulation!F759,"W","L")</f>
        <v>W</v>
      </c>
      <c r="I759" t="str">
        <f ca="1">IF(F759+最终结果!$G$12&gt;simulation!E759,"W","L")</f>
        <v>L</v>
      </c>
      <c r="J759" t="str">
        <f ca="1">IF((E759+F759)&gt;最终结果!$H$8,"Over","Under")</f>
        <v>Over</v>
      </c>
    </row>
    <row r="760" spans="3:10" x14ac:dyDescent="0.25">
      <c r="C760">
        <v>759</v>
      </c>
      <c r="D760" t="str">
        <f t="shared" ca="1" si="23"/>
        <v>-1</v>
      </c>
      <c r="E760">
        <f ca="1">ROUND(NORMINV(RAND(),最终结果!$I$8,最终结果!$E$8),0)</f>
        <v>86</v>
      </c>
      <c r="F760">
        <f ca="1">ROUND(NORMINV(RAND(),最终结果!$I$12,最终结果!$E$12),0)</f>
        <v>121</v>
      </c>
      <c r="G760" t="str">
        <f t="shared" ca="1" si="24"/>
        <v>Home</v>
      </c>
      <c r="H760" t="str">
        <f ca="1">IF(E760+最终结果!$G$8&gt;simulation!F760,"W","L")</f>
        <v>L</v>
      </c>
      <c r="I760" t="str">
        <f ca="1">IF(F760+最终结果!$G$12&gt;simulation!E760,"W","L")</f>
        <v>W</v>
      </c>
      <c r="J760" t="str">
        <f ca="1">IF((E760+F760)&gt;最终结果!$H$8,"Over","Under")</f>
        <v>Under</v>
      </c>
    </row>
    <row r="761" spans="3:10" x14ac:dyDescent="0.25">
      <c r="C761">
        <v>760</v>
      </c>
      <c r="D761" t="str">
        <f t="shared" ca="1" si="23"/>
        <v>-1</v>
      </c>
      <c r="E761">
        <f ca="1">ROUND(NORMINV(RAND(),最终结果!$I$8,最终结果!$E$8),0)</f>
        <v>99</v>
      </c>
      <c r="F761">
        <f ca="1">ROUND(NORMINV(RAND(),最终结果!$I$12,最终结果!$E$12),0)</f>
        <v>117</v>
      </c>
      <c r="G761" t="str">
        <f t="shared" ca="1" si="24"/>
        <v>Home</v>
      </c>
      <c r="H761" t="str">
        <f ca="1">IF(E761+最终结果!$G$8&gt;simulation!F761,"W","L")</f>
        <v>L</v>
      </c>
      <c r="I761" t="str">
        <f ca="1">IF(F761+最终结果!$G$12&gt;simulation!E761,"W","L")</f>
        <v>W</v>
      </c>
      <c r="J761" t="str">
        <f ca="1">IF((E761+F761)&gt;最终结果!$H$8,"Over","Under")</f>
        <v>Under</v>
      </c>
    </row>
    <row r="762" spans="3:10" x14ac:dyDescent="0.25">
      <c r="C762">
        <v>761</v>
      </c>
      <c r="D762" t="str">
        <f t="shared" ca="1" si="23"/>
        <v>-1</v>
      </c>
      <c r="E762">
        <f ca="1">ROUND(NORMINV(RAND(),最终结果!$I$8,最终结果!$E$8),0)</f>
        <v>104</v>
      </c>
      <c r="F762">
        <f ca="1">ROUND(NORMINV(RAND(),最终结果!$I$12,最终结果!$E$12),0)</f>
        <v>106</v>
      </c>
      <c r="G762" t="str">
        <f t="shared" ca="1" si="24"/>
        <v>Home</v>
      </c>
      <c r="H762" t="str">
        <f ca="1">IF(E762+最终结果!$G$8&gt;simulation!F762,"W","L")</f>
        <v>W</v>
      </c>
      <c r="I762" t="str">
        <f ca="1">IF(F762+最终结果!$G$12&gt;simulation!E762,"W","L")</f>
        <v>L</v>
      </c>
      <c r="J762" t="str">
        <f ca="1">IF((E762+F762)&gt;最终结果!$H$8,"Over","Under")</f>
        <v>Under</v>
      </c>
    </row>
    <row r="763" spans="3:10" x14ac:dyDescent="0.25">
      <c r="C763">
        <v>762</v>
      </c>
      <c r="D763" t="str">
        <f t="shared" ca="1" si="23"/>
        <v>-1</v>
      </c>
      <c r="E763">
        <f ca="1">ROUND(NORMINV(RAND(),最终结果!$I$8,最终结果!$E$8),0)</f>
        <v>102</v>
      </c>
      <c r="F763">
        <f ca="1">ROUND(NORMINV(RAND(),最终结果!$I$12,最终结果!$E$12),0)</f>
        <v>135</v>
      </c>
      <c r="G763" t="str">
        <f t="shared" ca="1" si="24"/>
        <v>Home</v>
      </c>
      <c r="H763" t="str">
        <f ca="1">IF(E763+最终结果!$G$8&gt;simulation!F763,"W","L")</f>
        <v>L</v>
      </c>
      <c r="I763" t="str">
        <f ca="1">IF(F763+最终结果!$G$12&gt;simulation!E763,"W","L")</f>
        <v>W</v>
      </c>
      <c r="J763" t="str">
        <f ca="1">IF((E763+F763)&gt;最终结果!$H$8,"Over","Under")</f>
        <v>Under</v>
      </c>
    </row>
    <row r="764" spans="3:10" x14ac:dyDescent="0.25">
      <c r="C764">
        <v>763</v>
      </c>
      <c r="D764" t="str">
        <f t="shared" ca="1" si="23"/>
        <v>-1</v>
      </c>
      <c r="E764">
        <f ca="1">ROUND(NORMINV(RAND(),最终结果!$I$8,最终结果!$E$8),0)</f>
        <v>97</v>
      </c>
      <c r="F764">
        <f ca="1">ROUND(NORMINV(RAND(),最终结果!$I$12,最终结果!$E$12),0)</f>
        <v>108</v>
      </c>
      <c r="G764" t="str">
        <f t="shared" ca="1" si="24"/>
        <v>Home</v>
      </c>
      <c r="H764" t="str">
        <f ca="1">IF(E764+最终结果!$G$8&gt;simulation!F764,"W","L")</f>
        <v>L</v>
      </c>
      <c r="I764" t="str">
        <f ca="1">IF(F764+最终结果!$G$12&gt;simulation!E764,"W","L")</f>
        <v>W</v>
      </c>
      <c r="J764" t="str">
        <f ca="1">IF((E764+F764)&gt;最终结果!$H$8,"Over","Under")</f>
        <v>Under</v>
      </c>
    </row>
    <row r="765" spans="3:10" x14ac:dyDescent="0.25">
      <c r="C765">
        <v>764</v>
      </c>
      <c r="D765" t="str">
        <f t="shared" ca="1" si="23"/>
        <v>1</v>
      </c>
      <c r="E765">
        <f ca="1">ROUND(NORMINV(RAND(),最终结果!$I$8,最终结果!$E$8),0)</f>
        <v>130</v>
      </c>
      <c r="F765">
        <f ca="1">ROUND(NORMINV(RAND(),最终结果!$I$12,最终结果!$E$12),0)</f>
        <v>108</v>
      </c>
      <c r="G765" t="str">
        <f t="shared" ca="1" si="24"/>
        <v>Away</v>
      </c>
      <c r="H765" t="str">
        <f ca="1">IF(E765+最终结果!$G$8&gt;simulation!F765,"W","L")</f>
        <v>W</v>
      </c>
      <c r="I765" t="str">
        <f ca="1">IF(F765+最终结果!$G$12&gt;simulation!E765,"W","L")</f>
        <v>L</v>
      </c>
      <c r="J765" t="str">
        <f ca="1">IF((E765+F765)&gt;最终结果!$H$8,"Over","Under")</f>
        <v>Over</v>
      </c>
    </row>
    <row r="766" spans="3:10" x14ac:dyDescent="0.25">
      <c r="C766">
        <v>765</v>
      </c>
      <c r="D766" t="str">
        <f t="shared" ca="1" si="23"/>
        <v>1</v>
      </c>
      <c r="E766">
        <f ca="1">ROUND(NORMINV(RAND(),最终结果!$I$8,最终结果!$E$8),0)</f>
        <v>101</v>
      </c>
      <c r="F766">
        <f ca="1">ROUND(NORMINV(RAND(),最终结果!$I$12,最终结果!$E$12),0)</f>
        <v>94</v>
      </c>
      <c r="G766" t="str">
        <f t="shared" ca="1" si="24"/>
        <v>Away</v>
      </c>
      <c r="H766" t="str">
        <f ca="1">IF(E766+最终结果!$G$8&gt;simulation!F766,"W","L")</f>
        <v>W</v>
      </c>
      <c r="I766" t="str">
        <f ca="1">IF(F766+最终结果!$G$12&gt;simulation!E766,"W","L")</f>
        <v>L</v>
      </c>
      <c r="J766" t="str">
        <f ca="1">IF((E766+F766)&gt;最终结果!$H$8,"Over","Under")</f>
        <v>Under</v>
      </c>
    </row>
    <row r="767" spans="3:10" x14ac:dyDescent="0.25">
      <c r="C767">
        <v>766</v>
      </c>
      <c r="D767" t="str">
        <f t="shared" ca="1" si="23"/>
        <v>-1</v>
      </c>
      <c r="E767">
        <f ca="1">ROUND(NORMINV(RAND(),最终结果!$I$8,最终结果!$E$8),0)</f>
        <v>95</v>
      </c>
      <c r="F767">
        <f ca="1">ROUND(NORMINV(RAND(),最终结果!$I$12,最终结果!$E$12),0)</f>
        <v>132</v>
      </c>
      <c r="G767" t="str">
        <f t="shared" ca="1" si="24"/>
        <v>Home</v>
      </c>
      <c r="H767" t="str">
        <f ca="1">IF(E767+最终结果!$G$8&gt;simulation!F767,"W","L")</f>
        <v>L</v>
      </c>
      <c r="I767" t="str">
        <f ca="1">IF(F767+最终结果!$G$12&gt;simulation!E767,"W","L")</f>
        <v>W</v>
      </c>
      <c r="J767" t="str">
        <f ca="1">IF((E767+F767)&gt;最终结果!$H$8,"Over","Under")</f>
        <v>Under</v>
      </c>
    </row>
    <row r="768" spans="3:10" x14ac:dyDescent="0.25">
      <c r="C768">
        <v>767</v>
      </c>
      <c r="D768" t="str">
        <f t="shared" ca="1" si="23"/>
        <v>1</v>
      </c>
      <c r="E768">
        <f ca="1">ROUND(NORMINV(RAND(),最终结果!$I$8,最终结果!$E$8),0)</f>
        <v>135</v>
      </c>
      <c r="F768">
        <f ca="1">ROUND(NORMINV(RAND(),最终结果!$I$12,最终结果!$E$12),0)</f>
        <v>102</v>
      </c>
      <c r="G768" t="str">
        <f t="shared" ca="1" si="24"/>
        <v>Away</v>
      </c>
      <c r="H768" t="str">
        <f ca="1">IF(E768+最终结果!$G$8&gt;simulation!F768,"W","L")</f>
        <v>W</v>
      </c>
      <c r="I768" t="str">
        <f ca="1">IF(F768+最终结果!$G$12&gt;simulation!E768,"W","L")</f>
        <v>L</v>
      </c>
      <c r="J768" t="str">
        <f ca="1">IF((E768+F768)&gt;最终结果!$H$8,"Over","Under")</f>
        <v>Under</v>
      </c>
    </row>
    <row r="769" spans="3:10" x14ac:dyDescent="0.25">
      <c r="C769">
        <v>768</v>
      </c>
      <c r="D769" t="str">
        <f t="shared" ca="1" si="23"/>
        <v>-1</v>
      </c>
      <c r="E769">
        <f ca="1">ROUND(NORMINV(RAND(),最终结果!$I$8,最终结果!$E$8),0)</f>
        <v>105</v>
      </c>
      <c r="F769">
        <f ca="1">ROUND(NORMINV(RAND(),最终结果!$I$12,最终结果!$E$12),0)</f>
        <v>106</v>
      </c>
      <c r="G769" t="str">
        <f t="shared" ca="1" si="24"/>
        <v>Home</v>
      </c>
      <c r="H769" t="str">
        <f ca="1">IF(E769+最终结果!$G$8&gt;simulation!F769,"W","L")</f>
        <v>W</v>
      </c>
      <c r="I769" t="str">
        <f ca="1">IF(F769+最终结果!$G$12&gt;simulation!E769,"W","L")</f>
        <v>L</v>
      </c>
      <c r="J769" t="str">
        <f ca="1">IF((E769+F769)&gt;最终结果!$H$8,"Over","Under")</f>
        <v>Under</v>
      </c>
    </row>
    <row r="770" spans="3:10" x14ac:dyDescent="0.25">
      <c r="C770">
        <v>769</v>
      </c>
      <c r="D770" t="str">
        <f t="shared" ca="1" si="23"/>
        <v>1</v>
      </c>
      <c r="E770">
        <f ca="1">ROUND(NORMINV(RAND(),最终结果!$I$8,最终结果!$E$8),0)</f>
        <v>106</v>
      </c>
      <c r="F770">
        <f ca="1">ROUND(NORMINV(RAND(),最终结果!$I$12,最终结果!$E$12),0)</f>
        <v>98</v>
      </c>
      <c r="G770" t="str">
        <f t="shared" ca="1" si="24"/>
        <v>Away</v>
      </c>
      <c r="H770" t="str">
        <f ca="1">IF(E770+最终结果!$G$8&gt;simulation!F770,"W","L")</f>
        <v>W</v>
      </c>
      <c r="I770" t="str">
        <f ca="1">IF(F770+最终结果!$G$12&gt;simulation!E770,"W","L")</f>
        <v>L</v>
      </c>
      <c r="J770" t="str">
        <f ca="1">IF((E770+F770)&gt;最终结果!$H$8,"Over","Under")</f>
        <v>Under</v>
      </c>
    </row>
    <row r="771" spans="3:10" x14ac:dyDescent="0.25">
      <c r="C771">
        <v>770</v>
      </c>
      <c r="D771" t="str">
        <f t="shared" ref="D771:D834" ca="1" si="25">IF(E771=F771,0,IF(E771&gt;F771,"1","-1"))</f>
        <v>1</v>
      </c>
      <c r="E771">
        <f ca="1">ROUND(NORMINV(RAND(),最终结果!$I$8,最终结果!$E$8),0)</f>
        <v>113</v>
      </c>
      <c r="F771">
        <f ca="1">ROUND(NORMINV(RAND(),最终结果!$I$12,最终结果!$E$12),0)</f>
        <v>99</v>
      </c>
      <c r="G771" t="str">
        <f t="shared" ca="1" si="24"/>
        <v>Away</v>
      </c>
      <c r="H771" t="str">
        <f ca="1">IF(E771+最终结果!$G$8&gt;simulation!F771,"W","L")</f>
        <v>W</v>
      </c>
      <c r="I771" t="str">
        <f ca="1">IF(F771+最终结果!$G$12&gt;simulation!E771,"W","L")</f>
        <v>L</v>
      </c>
      <c r="J771" t="str">
        <f ca="1">IF((E771+F771)&gt;最终结果!$H$8,"Over","Under")</f>
        <v>Under</v>
      </c>
    </row>
    <row r="772" spans="3:10" x14ac:dyDescent="0.25">
      <c r="C772">
        <v>771</v>
      </c>
      <c r="D772" t="str">
        <f t="shared" ca="1" si="25"/>
        <v>-1</v>
      </c>
      <c r="E772">
        <f ca="1">ROUND(NORMINV(RAND(),最终结果!$I$8,最终结果!$E$8),0)</f>
        <v>101</v>
      </c>
      <c r="F772">
        <f ca="1">ROUND(NORMINV(RAND(),最终结果!$I$12,最终结果!$E$12),0)</f>
        <v>115</v>
      </c>
      <c r="G772" t="str">
        <f t="shared" ca="1" si="24"/>
        <v>Home</v>
      </c>
      <c r="H772" t="str">
        <f ca="1">IF(E772+最终结果!$G$8&gt;simulation!F772,"W","L")</f>
        <v>L</v>
      </c>
      <c r="I772" t="str">
        <f ca="1">IF(F772+最终结果!$G$12&gt;simulation!E772,"W","L")</f>
        <v>W</v>
      </c>
      <c r="J772" t="str">
        <f ca="1">IF((E772+F772)&gt;最终结果!$H$8,"Over","Under")</f>
        <v>Under</v>
      </c>
    </row>
    <row r="773" spans="3:10" x14ac:dyDescent="0.25">
      <c r="C773">
        <v>772</v>
      </c>
      <c r="D773" t="str">
        <f t="shared" ca="1" si="25"/>
        <v>1</v>
      </c>
      <c r="E773">
        <f ca="1">ROUND(NORMINV(RAND(),最终结果!$I$8,最终结果!$E$8),0)</f>
        <v>121</v>
      </c>
      <c r="F773">
        <f ca="1">ROUND(NORMINV(RAND(),最终结果!$I$12,最终结果!$E$12),0)</f>
        <v>96</v>
      </c>
      <c r="G773" t="str">
        <f t="shared" ca="1" si="24"/>
        <v>Away</v>
      </c>
      <c r="H773" t="str">
        <f ca="1">IF(E773+最终结果!$G$8&gt;simulation!F773,"W","L")</f>
        <v>W</v>
      </c>
      <c r="I773" t="str">
        <f ca="1">IF(F773+最终结果!$G$12&gt;simulation!E773,"W","L")</f>
        <v>L</v>
      </c>
      <c r="J773" t="str">
        <f ca="1">IF((E773+F773)&gt;最终结果!$H$8,"Over","Under")</f>
        <v>Under</v>
      </c>
    </row>
    <row r="774" spans="3:10" x14ac:dyDescent="0.25">
      <c r="C774">
        <v>773</v>
      </c>
      <c r="D774" t="str">
        <f t="shared" ca="1" si="25"/>
        <v>-1</v>
      </c>
      <c r="E774">
        <f ca="1">ROUND(NORMINV(RAND(),最终结果!$I$8,最终结果!$E$8),0)</f>
        <v>117</v>
      </c>
      <c r="F774">
        <f ca="1">ROUND(NORMINV(RAND(),最终结果!$I$12,最终结果!$E$12),0)</f>
        <v>118</v>
      </c>
      <c r="G774" t="str">
        <f t="shared" ca="1" si="24"/>
        <v>Home</v>
      </c>
      <c r="H774" t="str">
        <f ca="1">IF(E774+最终结果!$G$8&gt;simulation!F774,"W","L")</f>
        <v>W</v>
      </c>
      <c r="I774" t="str">
        <f ca="1">IF(F774+最终结果!$G$12&gt;simulation!E774,"W","L")</f>
        <v>L</v>
      </c>
      <c r="J774" t="str">
        <f ca="1">IF((E774+F774)&gt;最终结果!$H$8,"Over","Under")</f>
        <v>Under</v>
      </c>
    </row>
    <row r="775" spans="3:10" x14ac:dyDescent="0.25">
      <c r="C775">
        <v>774</v>
      </c>
      <c r="D775" t="str">
        <f t="shared" ca="1" si="25"/>
        <v>-1</v>
      </c>
      <c r="E775">
        <f ca="1">ROUND(NORMINV(RAND(),最终结果!$I$8,最终结果!$E$8),0)</f>
        <v>115</v>
      </c>
      <c r="F775">
        <f ca="1">ROUND(NORMINV(RAND(),最终结果!$I$12,最终结果!$E$12),0)</f>
        <v>116</v>
      </c>
      <c r="G775" t="str">
        <f t="shared" ca="1" si="24"/>
        <v>Home</v>
      </c>
      <c r="H775" t="str">
        <f ca="1">IF(E775+最终结果!$G$8&gt;simulation!F775,"W","L")</f>
        <v>W</v>
      </c>
      <c r="I775" t="str">
        <f ca="1">IF(F775+最终结果!$G$12&gt;simulation!E775,"W","L")</f>
        <v>L</v>
      </c>
      <c r="J775" t="str">
        <f ca="1">IF((E775+F775)&gt;最终结果!$H$8,"Over","Under")</f>
        <v>Under</v>
      </c>
    </row>
    <row r="776" spans="3:10" x14ac:dyDescent="0.25">
      <c r="C776">
        <v>775</v>
      </c>
      <c r="D776" t="str">
        <f t="shared" ca="1" si="25"/>
        <v>-1</v>
      </c>
      <c r="E776">
        <f ca="1">ROUND(NORMINV(RAND(),最终结果!$I$8,最终结果!$E$8),0)</f>
        <v>110</v>
      </c>
      <c r="F776">
        <f ca="1">ROUND(NORMINV(RAND(),最终结果!$I$12,最终结果!$E$12),0)</f>
        <v>132</v>
      </c>
      <c r="G776" t="str">
        <f t="shared" ca="1" si="24"/>
        <v>Home</v>
      </c>
      <c r="H776" t="str">
        <f ca="1">IF(E776+最终结果!$G$8&gt;simulation!F776,"W","L")</f>
        <v>L</v>
      </c>
      <c r="I776" t="str">
        <f ca="1">IF(F776+最终结果!$G$12&gt;simulation!E776,"W","L")</f>
        <v>W</v>
      </c>
      <c r="J776" t="str">
        <f ca="1">IF((E776+F776)&gt;最终结果!$H$8,"Over","Under")</f>
        <v>Over</v>
      </c>
    </row>
    <row r="777" spans="3:10" x14ac:dyDescent="0.25">
      <c r="C777">
        <v>776</v>
      </c>
      <c r="D777" t="str">
        <f t="shared" ca="1" si="25"/>
        <v>-1</v>
      </c>
      <c r="E777">
        <f ca="1">ROUND(NORMINV(RAND(),最终结果!$I$8,最终结果!$E$8),0)</f>
        <v>98</v>
      </c>
      <c r="F777">
        <f ca="1">ROUND(NORMINV(RAND(),最终结果!$I$12,最终结果!$E$12),0)</f>
        <v>117</v>
      </c>
      <c r="G777" t="str">
        <f t="shared" ca="1" si="24"/>
        <v>Home</v>
      </c>
      <c r="H777" t="str">
        <f ca="1">IF(E777+最终结果!$G$8&gt;simulation!F777,"W","L")</f>
        <v>L</v>
      </c>
      <c r="I777" t="str">
        <f ca="1">IF(F777+最终结果!$G$12&gt;simulation!E777,"W","L")</f>
        <v>W</v>
      </c>
      <c r="J777" t="str">
        <f ca="1">IF((E777+F777)&gt;最终结果!$H$8,"Over","Under")</f>
        <v>Under</v>
      </c>
    </row>
    <row r="778" spans="3:10" x14ac:dyDescent="0.25">
      <c r="C778">
        <v>777</v>
      </c>
      <c r="D778" t="str">
        <f t="shared" ca="1" si="25"/>
        <v>-1</v>
      </c>
      <c r="E778">
        <f ca="1">ROUND(NORMINV(RAND(),最终结果!$I$8,最终结果!$E$8),0)</f>
        <v>102</v>
      </c>
      <c r="F778">
        <f ca="1">ROUND(NORMINV(RAND(),最终结果!$I$12,最终结果!$E$12),0)</f>
        <v>131</v>
      </c>
      <c r="G778" t="str">
        <f t="shared" ca="1" si="24"/>
        <v>Home</v>
      </c>
      <c r="H778" t="str">
        <f ca="1">IF(E778+最终结果!$G$8&gt;simulation!F778,"W","L")</f>
        <v>L</v>
      </c>
      <c r="I778" t="str">
        <f ca="1">IF(F778+最终结果!$G$12&gt;simulation!E778,"W","L")</f>
        <v>W</v>
      </c>
      <c r="J778" t="str">
        <f ca="1">IF((E778+F778)&gt;最终结果!$H$8,"Over","Under")</f>
        <v>Under</v>
      </c>
    </row>
    <row r="779" spans="3:10" x14ac:dyDescent="0.25">
      <c r="C779">
        <v>778</v>
      </c>
      <c r="D779" t="str">
        <f t="shared" ca="1" si="25"/>
        <v>-1</v>
      </c>
      <c r="E779">
        <f ca="1">ROUND(NORMINV(RAND(),最终结果!$I$8,最终结果!$E$8),0)</f>
        <v>110</v>
      </c>
      <c r="F779">
        <f ca="1">ROUND(NORMINV(RAND(),最终结果!$I$12,最终结果!$E$12),0)</f>
        <v>126</v>
      </c>
      <c r="G779" t="str">
        <f t="shared" ca="1" si="24"/>
        <v>Home</v>
      </c>
      <c r="H779" t="str">
        <f ca="1">IF(E779+最终结果!$G$8&gt;simulation!F779,"W","L")</f>
        <v>L</v>
      </c>
      <c r="I779" t="str">
        <f ca="1">IF(F779+最终结果!$G$12&gt;simulation!E779,"W","L")</f>
        <v>W</v>
      </c>
      <c r="J779" t="str">
        <f ca="1">IF((E779+F779)&gt;最终结果!$H$8,"Over","Under")</f>
        <v>Under</v>
      </c>
    </row>
    <row r="780" spans="3:10" x14ac:dyDescent="0.25">
      <c r="C780">
        <v>779</v>
      </c>
      <c r="D780" t="str">
        <f t="shared" ca="1" si="25"/>
        <v>1</v>
      </c>
      <c r="E780">
        <f ca="1">ROUND(NORMINV(RAND(),最终结果!$I$8,最终结果!$E$8),0)</f>
        <v>120</v>
      </c>
      <c r="F780">
        <f ca="1">ROUND(NORMINV(RAND(),最终结果!$I$12,最终结果!$E$12),0)</f>
        <v>102</v>
      </c>
      <c r="G780" t="str">
        <f t="shared" ca="1" si="24"/>
        <v>Away</v>
      </c>
      <c r="H780" t="str">
        <f ca="1">IF(E780+最终结果!$G$8&gt;simulation!F780,"W","L")</f>
        <v>W</v>
      </c>
      <c r="I780" t="str">
        <f ca="1">IF(F780+最终结果!$G$12&gt;simulation!E780,"W","L")</f>
        <v>L</v>
      </c>
      <c r="J780" t="str">
        <f ca="1">IF((E780+F780)&gt;最终结果!$H$8,"Over","Under")</f>
        <v>Under</v>
      </c>
    </row>
    <row r="781" spans="3:10" x14ac:dyDescent="0.25">
      <c r="C781">
        <v>780</v>
      </c>
      <c r="D781" t="str">
        <f t="shared" ca="1" si="25"/>
        <v>1</v>
      </c>
      <c r="E781">
        <f ca="1">ROUND(NORMINV(RAND(),最终结果!$I$8,最终结果!$E$8),0)</f>
        <v>126</v>
      </c>
      <c r="F781">
        <f ca="1">ROUND(NORMINV(RAND(),最终结果!$I$12,最终结果!$E$12),0)</f>
        <v>124</v>
      </c>
      <c r="G781" t="str">
        <f t="shared" ca="1" si="24"/>
        <v>Away</v>
      </c>
      <c r="H781" t="str">
        <f ca="1">IF(E781+最终结果!$G$8&gt;simulation!F781,"W","L")</f>
        <v>W</v>
      </c>
      <c r="I781" t="str">
        <f ca="1">IF(F781+最终结果!$G$12&gt;simulation!E781,"W","L")</f>
        <v>L</v>
      </c>
      <c r="J781" t="str">
        <f ca="1">IF((E781+F781)&gt;最终结果!$H$8,"Over","Under")</f>
        <v>Over</v>
      </c>
    </row>
    <row r="782" spans="3:10" x14ac:dyDescent="0.25">
      <c r="C782">
        <v>781</v>
      </c>
      <c r="D782" t="str">
        <f t="shared" ca="1" si="25"/>
        <v>1</v>
      </c>
      <c r="E782">
        <f ca="1">ROUND(NORMINV(RAND(),最终结果!$I$8,最终结果!$E$8),0)</f>
        <v>123</v>
      </c>
      <c r="F782">
        <f ca="1">ROUND(NORMINV(RAND(),最终结果!$I$12,最终结果!$E$12),0)</f>
        <v>101</v>
      </c>
      <c r="G782" t="str">
        <f t="shared" ref="G782:G845" ca="1" si="26">IF(E782=F782,"OT",IF(E782&gt;F782,"Away","Home"))</f>
        <v>Away</v>
      </c>
      <c r="H782" t="str">
        <f ca="1">IF(E782+最终结果!$G$8&gt;simulation!F782,"W","L")</f>
        <v>W</v>
      </c>
      <c r="I782" t="str">
        <f ca="1">IF(F782+最终结果!$G$12&gt;simulation!E782,"W","L")</f>
        <v>L</v>
      </c>
      <c r="J782" t="str">
        <f ca="1">IF((E782+F782)&gt;最终结果!$H$8,"Over","Under")</f>
        <v>Under</v>
      </c>
    </row>
    <row r="783" spans="3:10" x14ac:dyDescent="0.25">
      <c r="C783">
        <v>782</v>
      </c>
      <c r="D783" t="str">
        <f t="shared" ca="1" si="25"/>
        <v>1</v>
      </c>
      <c r="E783">
        <f ca="1">ROUND(NORMINV(RAND(),最终结果!$I$8,最终结果!$E$8),0)</f>
        <v>124</v>
      </c>
      <c r="F783">
        <f ca="1">ROUND(NORMINV(RAND(),最终结果!$I$12,最终结果!$E$12),0)</f>
        <v>100</v>
      </c>
      <c r="G783" t="str">
        <f t="shared" ca="1" si="26"/>
        <v>Away</v>
      </c>
      <c r="H783" t="str">
        <f ca="1">IF(E783+最终结果!$G$8&gt;simulation!F783,"W","L")</f>
        <v>W</v>
      </c>
      <c r="I783" t="str">
        <f ca="1">IF(F783+最终结果!$G$12&gt;simulation!E783,"W","L")</f>
        <v>L</v>
      </c>
      <c r="J783" t="str">
        <f ca="1">IF((E783+F783)&gt;最终结果!$H$8,"Over","Under")</f>
        <v>Under</v>
      </c>
    </row>
    <row r="784" spans="3:10" x14ac:dyDescent="0.25">
      <c r="C784">
        <v>783</v>
      </c>
      <c r="D784" t="str">
        <f t="shared" ca="1" si="25"/>
        <v>1</v>
      </c>
      <c r="E784">
        <f ca="1">ROUND(NORMINV(RAND(),最终结果!$I$8,最终结果!$E$8),0)</f>
        <v>117</v>
      </c>
      <c r="F784">
        <f ca="1">ROUND(NORMINV(RAND(),最终结果!$I$12,最终结果!$E$12),0)</f>
        <v>116</v>
      </c>
      <c r="G784" t="str">
        <f t="shared" ca="1" si="26"/>
        <v>Away</v>
      </c>
      <c r="H784" t="str">
        <f ca="1">IF(E784+最终结果!$G$8&gt;simulation!F784,"W","L")</f>
        <v>W</v>
      </c>
      <c r="I784" t="str">
        <f ca="1">IF(F784+最终结果!$G$12&gt;simulation!E784,"W","L")</f>
        <v>L</v>
      </c>
      <c r="J784" t="str">
        <f ca="1">IF((E784+F784)&gt;最终结果!$H$8,"Over","Under")</f>
        <v>Under</v>
      </c>
    </row>
    <row r="785" spans="3:10" x14ac:dyDescent="0.25">
      <c r="C785">
        <v>784</v>
      </c>
      <c r="D785" t="str">
        <f t="shared" ca="1" si="25"/>
        <v>-1</v>
      </c>
      <c r="E785">
        <f ca="1">ROUND(NORMINV(RAND(),最终结果!$I$8,最终结果!$E$8),0)</f>
        <v>104</v>
      </c>
      <c r="F785">
        <f ca="1">ROUND(NORMINV(RAND(),最终结果!$I$12,最终结果!$E$12),0)</f>
        <v>119</v>
      </c>
      <c r="G785" t="str">
        <f t="shared" ca="1" si="26"/>
        <v>Home</v>
      </c>
      <c r="H785" t="str">
        <f ca="1">IF(E785+最终结果!$G$8&gt;simulation!F785,"W","L")</f>
        <v>L</v>
      </c>
      <c r="I785" t="str">
        <f ca="1">IF(F785+最终结果!$G$12&gt;simulation!E785,"W","L")</f>
        <v>W</v>
      </c>
      <c r="J785" t="str">
        <f ca="1">IF((E785+F785)&gt;最终结果!$H$8,"Over","Under")</f>
        <v>Under</v>
      </c>
    </row>
    <row r="786" spans="3:10" x14ac:dyDescent="0.25">
      <c r="C786">
        <v>785</v>
      </c>
      <c r="D786" t="str">
        <f t="shared" ca="1" si="25"/>
        <v>-1</v>
      </c>
      <c r="E786">
        <f ca="1">ROUND(NORMINV(RAND(),最终结果!$I$8,最终结果!$E$8),0)</f>
        <v>99</v>
      </c>
      <c r="F786">
        <f ca="1">ROUND(NORMINV(RAND(),最终结果!$I$12,最终结果!$E$12),0)</f>
        <v>128</v>
      </c>
      <c r="G786" t="str">
        <f t="shared" ca="1" si="26"/>
        <v>Home</v>
      </c>
      <c r="H786" t="str">
        <f ca="1">IF(E786+最终结果!$G$8&gt;simulation!F786,"W","L")</f>
        <v>L</v>
      </c>
      <c r="I786" t="str">
        <f ca="1">IF(F786+最终结果!$G$12&gt;simulation!E786,"W","L")</f>
        <v>W</v>
      </c>
      <c r="J786" t="str">
        <f ca="1">IF((E786+F786)&gt;最终结果!$H$8,"Over","Under")</f>
        <v>Under</v>
      </c>
    </row>
    <row r="787" spans="3:10" x14ac:dyDescent="0.25">
      <c r="C787">
        <v>786</v>
      </c>
      <c r="D787" t="str">
        <f t="shared" ca="1" si="25"/>
        <v>-1</v>
      </c>
      <c r="E787">
        <f ca="1">ROUND(NORMINV(RAND(),最终结果!$I$8,最终结果!$E$8),0)</f>
        <v>114</v>
      </c>
      <c r="F787">
        <f ca="1">ROUND(NORMINV(RAND(),最终结果!$I$12,最终结果!$E$12),0)</f>
        <v>123</v>
      </c>
      <c r="G787" t="str">
        <f t="shared" ca="1" si="26"/>
        <v>Home</v>
      </c>
      <c r="H787" t="str">
        <f ca="1">IF(E787+最终结果!$G$8&gt;simulation!F787,"W","L")</f>
        <v>L</v>
      </c>
      <c r="I787" t="str">
        <f ca="1">IF(F787+最终结果!$G$12&gt;simulation!E787,"W","L")</f>
        <v>W</v>
      </c>
      <c r="J787" t="str">
        <f ca="1">IF((E787+F787)&gt;最终结果!$H$8,"Over","Under")</f>
        <v>Under</v>
      </c>
    </row>
    <row r="788" spans="3:10" x14ac:dyDescent="0.25">
      <c r="C788">
        <v>787</v>
      </c>
      <c r="D788" t="str">
        <f t="shared" ca="1" si="25"/>
        <v>1</v>
      </c>
      <c r="E788">
        <f ca="1">ROUND(NORMINV(RAND(),最终结果!$I$8,最终结果!$E$8),0)</f>
        <v>115</v>
      </c>
      <c r="F788">
        <f ca="1">ROUND(NORMINV(RAND(),最终结果!$I$12,最终结果!$E$12),0)</f>
        <v>112</v>
      </c>
      <c r="G788" t="str">
        <f t="shared" ca="1" si="26"/>
        <v>Away</v>
      </c>
      <c r="H788" t="str">
        <f ca="1">IF(E788+最终结果!$G$8&gt;simulation!F788,"W","L")</f>
        <v>W</v>
      </c>
      <c r="I788" t="str">
        <f ca="1">IF(F788+最终结果!$G$12&gt;simulation!E788,"W","L")</f>
        <v>L</v>
      </c>
      <c r="J788" t="str">
        <f ca="1">IF((E788+F788)&gt;最终结果!$H$8,"Over","Under")</f>
        <v>Under</v>
      </c>
    </row>
    <row r="789" spans="3:10" x14ac:dyDescent="0.25">
      <c r="C789">
        <v>788</v>
      </c>
      <c r="D789" t="str">
        <f t="shared" ca="1" si="25"/>
        <v>-1</v>
      </c>
      <c r="E789">
        <f ca="1">ROUND(NORMINV(RAND(),最终结果!$I$8,最终结果!$E$8),0)</f>
        <v>114</v>
      </c>
      <c r="F789">
        <f ca="1">ROUND(NORMINV(RAND(),最终结果!$I$12,最终结果!$E$12),0)</f>
        <v>120</v>
      </c>
      <c r="G789" t="str">
        <f t="shared" ca="1" si="26"/>
        <v>Home</v>
      </c>
      <c r="H789" t="str">
        <f ca="1">IF(E789+最终结果!$G$8&gt;simulation!F789,"W","L")</f>
        <v>L</v>
      </c>
      <c r="I789" t="str">
        <f ca="1">IF(F789+最终结果!$G$12&gt;simulation!E789,"W","L")</f>
        <v>W</v>
      </c>
      <c r="J789" t="str">
        <f ca="1">IF((E789+F789)&gt;最终结果!$H$8,"Over","Under")</f>
        <v>Under</v>
      </c>
    </row>
    <row r="790" spans="3:10" x14ac:dyDescent="0.25">
      <c r="C790">
        <v>789</v>
      </c>
      <c r="D790">
        <f t="shared" ca="1" si="25"/>
        <v>0</v>
      </c>
      <c r="E790">
        <f ca="1">ROUND(NORMINV(RAND(),最终结果!$I$8,最终结果!$E$8),0)</f>
        <v>108</v>
      </c>
      <c r="F790">
        <f ca="1">ROUND(NORMINV(RAND(),最终结果!$I$12,最终结果!$E$12),0)</f>
        <v>108</v>
      </c>
      <c r="G790" t="str">
        <f t="shared" ca="1" si="26"/>
        <v>OT</v>
      </c>
      <c r="H790" t="str">
        <f ca="1">IF(E790+最终结果!$G$8&gt;simulation!F790,"W","L")</f>
        <v>W</v>
      </c>
      <c r="I790" t="str">
        <f ca="1">IF(F790+最终结果!$G$12&gt;simulation!E790,"W","L")</f>
        <v>L</v>
      </c>
      <c r="J790" t="str">
        <f ca="1">IF((E790+F790)&gt;最终结果!$H$8,"Over","Under")</f>
        <v>Under</v>
      </c>
    </row>
    <row r="791" spans="3:10" x14ac:dyDescent="0.25">
      <c r="C791">
        <v>790</v>
      </c>
      <c r="D791" t="str">
        <f t="shared" ca="1" si="25"/>
        <v>-1</v>
      </c>
      <c r="E791">
        <f ca="1">ROUND(NORMINV(RAND(),最终结果!$I$8,最终结果!$E$8),0)</f>
        <v>110</v>
      </c>
      <c r="F791">
        <f ca="1">ROUND(NORMINV(RAND(),最终结果!$I$12,最终结果!$E$12),0)</f>
        <v>129</v>
      </c>
      <c r="G791" t="str">
        <f t="shared" ca="1" si="26"/>
        <v>Home</v>
      </c>
      <c r="H791" t="str">
        <f ca="1">IF(E791+最终结果!$G$8&gt;simulation!F791,"W","L")</f>
        <v>L</v>
      </c>
      <c r="I791" t="str">
        <f ca="1">IF(F791+最终结果!$G$12&gt;simulation!E791,"W","L")</f>
        <v>W</v>
      </c>
      <c r="J791" t="str">
        <f ca="1">IF((E791+F791)&gt;最终结果!$H$8,"Over","Under")</f>
        <v>Over</v>
      </c>
    </row>
    <row r="792" spans="3:10" x14ac:dyDescent="0.25">
      <c r="C792">
        <v>791</v>
      </c>
      <c r="D792" t="str">
        <f t="shared" ca="1" si="25"/>
        <v>-1</v>
      </c>
      <c r="E792">
        <f ca="1">ROUND(NORMINV(RAND(),最终结果!$I$8,最终结果!$E$8),0)</f>
        <v>98</v>
      </c>
      <c r="F792">
        <f ca="1">ROUND(NORMINV(RAND(),最终结果!$I$12,最终结果!$E$12),0)</f>
        <v>102</v>
      </c>
      <c r="G792" t="str">
        <f t="shared" ca="1" si="26"/>
        <v>Home</v>
      </c>
      <c r="H792" t="str">
        <f ca="1">IF(E792+最终结果!$G$8&gt;simulation!F792,"W","L")</f>
        <v>L</v>
      </c>
      <c r="I792" t="str">
        <f ca="1">IF(F792+最终结果!$G$12&gt;simulation!E792,"W","L")</f>
        <v>W</v>
      </c>
      <c r="J792" t="str">
        <f ca="1">IF((E792+F792)&gt;最终结果!$H$8,"Over","Under")</f>
        <v>Under</v>
      </c>
    </row>
    <row r="793" spans="3:10" x14ac:dyDescent="0.25">
      <c r="C793">
        <v>792</v>
      </c>
      <c r="D793" t="str">
        <f t="shared" ca="1" si="25"/>
        <v>1</v>
      </c>
      <c r="E793">
        <f ca="1">ROUND(NORMINV(RAND(),最终结果!$I$8,最终结果!$E$8),0)</f>
        <v>127</v>
      </c>
      <c r="F793">
        <f ca="1">ROUND(NORMINV(RAND(),最终结果!$I$12,最终结果!$E$12),0)</f>
        <v>125</v>
      </c>
      <c r="G793" t="str">
        <f t="shared" ca="1" si="26"/>
        <v>Away</v>
      </c>
      <c r="H793" t="str">
        <f ca="1">IF(E793+最终结果!$G$8&gt;simulation!F793,"W","L")</f>
        <v>W</v>
      </c>
      <c r="I793" t="str">
        <f ca="1">IF(F793+最终结果!$G$12&gt;simulation!E793,"W","L")</f>
        <v>L</v>
      </c>
      <c r="J793" t="str">
        <f ca="1">IF((E793+F793)&gt;最终结果!$H$8,"Over","Under")</f>
        <v>Over</v>
      </c>
    </row>
    <row r="794" spans="3:10" x14ac:dyDescent="0.25">
      <c r="C794">
        <v>793</v>
      </c>
      <c r="D794" t="str">
        <f t="shared" ca="1" si="25"/>
        <v>1</v>
      </c>
      <c r="E794">
        <f ca="1">ROUND(NORMINV(RAND(),最终结果!$I$8,最终结果!$E$8),0)</f>
        <v>117</v>
      </c>
      <c r="F794">
        <f ca="1">ROUND(NORMINV(RAND(),最终结果!$I$12,最终结果!$E$12),0)</f>
        <v>110</v>
      </c>
      <c r="G794" t="str">
        <f t="shared" ca="1" si="26"/>
        <v>Away</v>
      </c>
      <c r="H794" t="str">
        <f ca="1">IF(E794+最终结果!$G$8&gt;simulation!F794,"W","L")</f>
        <v>W</v>
      </c>
      <c r="I794" t="str">
        <f ca="1">IF(F794+最终结果!$G$12&gt;simulation!E794,"W","L")</f>
        <v>L</v>
      </c>
      <c r="J794" t="str">
        <f ca="1">IF((E794+F794)&gt;最终结果!$H$8,"Over","Under")</f>
        <v>Under</v>
      </c>
    </row>
    <row r="795" spans="3:10" x14ac:dyDescent="0.25">
      <c r="C795">
        <v>794</v>
      </c>
      <c r="D795" t="str">
        <f t="shared" ca="1" si="25"/>
        <v>-1</v>
      </c>
      <c r="E795">
        <f ca="1">ROUND(NORMINV(RAND(),最终结果!$I$8,最终结果!$E$8),0)</f>
        <v>125</v>
      </c>
      <c r="F795">
        <f ca="1">ROUND(NORMINV(RAND(),最终结果!$I$12,最终结果!$E$12),0)</f>
        <v>133</v>
      </c>
      <c r="G795" t="str">
        <f t="shared" ca="1" si="26"/>
        <v>Home</v>
      </c>
      <c r="H795" t="str">
        <f ca="1">IF(E795+最终结果!$G$8&gt;simulation!F795,"W","L")</f>
        <v>L</v>
      </c>
      <c r="I795" t="str">
        <f ca="1">IF(F795+最终结果!$G$12&gt;simulation!E795,"W","L")</f>
        <v>W</v>
      </c>
      <c r="J795" t="str">
        <f ca="1">IF((E795+F795)&gt;最终结果!$H$8,"Over","Under")</f>
        <v>Over</v>
      </c>
    </row>
    <row r="796" spans="3:10" x14ac:dyDescent="0.25">
      <c r="C796">
        <v>795</v>
      </c>
      <c r="D796" t="str">
        <f t="shared" ca="1" si="25"/>
        <v>1</v>
      </c>
      <c r="E796">
        <f ca="1">ROUND(NORMINV(RAND(),最终结果!$I$8,最终结果!$E$8),0)</f>
        <v>118</v>
      </c>
      <c r="F796">
        <f ca="1">ROUND(NORMINV(RAND(),最终结果!$I$12,最终结果!$E$12),0)</f>
        <v>100</v>
      </c>
      <c r="G796" t="str">
        <f t="shared" ca="1" si="26"/>
        <v>Away</v>
      </c>
      <c r="H796" t="str">
        <f ca="1">IF(E796+最终结果!$G$8&gt;simulation!F796,"W","L")</f>
        <v>W</v>
      </c>
      <c r="I796" t="str">
        <f ca="1">IF(F796+最终结果!$G$12&gt;simulation!E796,"W","L")</f>
        <v>L</v>
      </c>
      <c r="J796" t="str">
        <f ca="1">IF((E796+F796)&gt;最终结果!$H$8,"Over","Under")</f>
        <v>Under</v>
      </c>
    </row>
    <row r="797" spans="3:10" x14ac:dyDescent="0.25">
      <c r="C797">
        <v>796</v>
      </c>
      <c r="D797" t="str">
        <f t="shared" ca="1" si="25"/>
        <v>1</v>
      </c>
      <c r="E797">
        <f ca="1">ROUND(NORMINV(RAND(),最终结果!$I$8,最终结果!$E$8),0)</f>
        <v>113</v>
      </c>
      <c r="F797">
        <f ca="1">ROUND(NORMINV(RAND(),最终结果!$I$12,最终结果!$E$12),0)</f>
        <v>107</v>
      </c>
      <c r="G797" t="str">
        <f t="shared" ca="1" si="26"/>
        <v>Away</v>
      </c>
      <c r="H797" t="str">
        <f ca="1">IF(E797+最终结果!$G$8&gt;simulation!F797,"W","L")</f>
        <v>W</v>
      </c>
      <c r="I797" t="str">
        <f ca="1">IF(F797+最终结果!$G$12&gt;simulation!E797,"W","L")</f>
        <v>L</v>
      </c>
      <c r="J797" t="str">
        <f ca="1">IF((E797+F797)&gt;最终结果!$H$8,"Over","Under")</f>
        <v>Under</v>
      </c>
    </row>
    <row r="798" spans="3:10" x14ac:dyDescent="0.25">
      <c r="C798">
        <v>797</v>
      </c>
      <c r="D798" t="str">
        <f t="shared" ca="1" si="25"/>
        <v>-1</v>
      </c>
      <c r="E798">
        <f ca="1">ROUND(NORMINV(RAND(),最终结果!$I$8,最终结果!$E$8),0)</f>
        <v>99</v>
      </c>
      <c r="F798">
        <f ca="1">ROUND(NORMINV(RAND(),最终结果!$I$12,最终结果!$E$12),0)</f>
        <v>118</v>
      </c>
      <c r="G798" t="str">
        <f t="shared" ca="1" si="26"/>
        <v>Home</v>
      </c>
      <c r="H798" t="str">
        <f ca="1">IF(E798+最终结果!$G$8&gt;simulation!F798,"W","L")</f>
        <v>L</v>
      </c>
      <c r="I798" t="str">
        <f ca="1">IF(F798+最终结果!$G$12&gt;simulation!E798,"W","L")</f>
        <v>W</v>
      </c>
      <c r="J798" t="str">
        <f ca="1">IF((E798+F798)&gt;最终结果!$H$8,"Over","Under")</f>
        <v>Under</v>
      </c>
    </row>
    <row r="799" spans="3:10" x14ac:dyDescent="0.25">
      <c r="C799">
        <v>798</v>
      </c>
      <c r="D799" t="str">
        <f t="shared" ca="1" si="25"/>
        <v>-1</v>
      </c>
      <c r="E799">
        <f ca="1">ROUND(NORMINV(RAND(),最终结果!$I$8,最终结果!$E$8),0)</f>
        <v>118</v>
      </c>
      <c r="F799">
        <f ca="1">ROUND(NORMINV(RAND(),最终结果!$I$12,最终结果!$E$12),0)</f>
        <v>121</v>
      </c>
      <c r="G799" t="str">
        <f t="shared" ca="1" si="26"/>
        <v>Home</v>
      </c>
      <c r="H799" t="str">
        <f ca="1">IF(E799+最终结果!$G$8&gt;simulation!F799,"W","L")</f>
        <v>L</v>
      </c>
      <c r="I799" t="str">
        <f ca="1">IF(F799+最终结果!$G$12&gt;simulation!E799,"W","L")</f>
        <v>L</v>
      </c>
      <c r="J799" t="str">
        <f ca="1">IF((E799+F799)&gt;最终结果!$H$8,"Over","Under")</f>
        <v>Over</v>
      </c>
    </row>
    <row r="800" spans="3:10" x14ac:dyDescent="0.25">
      <c r="C800">
        <v>799</v>
      </c>
      <c r="D800" t="str">
        <f t="shared" ca="1" si="25"/>
        <v>-1</v>
      </c>
      <c r="E800">
        <f ca="1">ROUND(NORMINV(RAND(),最终结果!$I$8,最终结果!$E$8),0)</f>
        <v>108</v>
      </c>
      <c r="F800">
        <f ca="1">ROUND(NORMINV(RAND(),最终结果!$I$12,最终结果!$E$12),0)</f>
        <v>121</v>
      </c>
      <c r="G800" t="str">
        <f t="shared" ca="1" si="26"/>
        <v>Home</v>
      </c>
      <c r="H800" t="str">
        <f ca="1">IF(E800+最终结果!$G$8&gt;simulation!F800,"W","L")</f>
        <v>L</v>
      </c>
      <c r="I800" t="str">
        <f ca="1">IF(F800+最终结果!$G$12&gt;simulation!E800,"W","L")</f>
        <v>W</v>
      </c>
      <c r="J800" t="str">
        <f ca="1">IF((E800+F800)&gt;最终结果!$H$8,"Over","Under")</f>
        <v>Under</v>
      </c>
    </row>
    <row r="801" spans="3:10" x14ac:dyDescent="0.25">
      <c r="C801">
        <v>800</v>
      </c>
      <c r="D801" t="str">
        <f t="shared" ca="1" si="25"/>
        <v>1</v>
      </c>
      <c r="E801">
        <f ca="1">ROUND(NORMINV(RAND(),最终结果!$I$8,最终结果!$E$8),0)</f>
        <v>116</v>
      </c>
      <c r="F801">
        <f ca="1">ROUND(NORMINV(RAND(),最终结果!$I$12,最终结果!$E$12),0)</f>
        <v>106</v>
      </c>
      <c r="G801" t="str">
        <f t="shared" ca="1" si="26"/>
        <v>Away</v>
      </c>
      <c r="H801" t="str">
        <f ca="1">IF(E801+最终结果!$G$8&gt;simulation!F801,"W","L")</f>
        <v>W</v>
      </c>
      <c r="I801" t="str">
        <f ca="1">IF(F801+最终结果!$G$12&gt;simulation!E801,"W","L")</f>
        <v>L</v>
      </c>
      <c r="J801" t="str">
        <f ca="1">IF((E801+F801)&gt;最终结果!$H$8,"Over","Under")</f>
        <v>Under</v>
      </c>
    </row>
    <row r="802" spans="3:10" x14ac:dyDescent="0.25">
      <c r="C802">
        <v>801</v>
      </c>
      <c r="D802" t="str">
        <f t="shared" ca="1" si="25"/>
        <v>-1</v>
      </c>
      <c r="E802">
        <f ca="1">ROUND(NORMINV(RAND(),最终结果!$I$8,最终结果!$E$8),0)</f>
        <v>119</v>
      </c>
      <c r="F802">
        <f ca="1">ROUND(NORMINV(RAND(),最终结果!$I$12,最终结果!$E$12),0)</f>
        <v>125</v>
      </c>
      <c r="G802" t="str">
        <f t="shared" ca="1" si="26"/>
        <v>Home</v>
      </c>
      <c r="H802" t="str">
        <f ca="1">IF(E802+最终结果!$G$8&gt;simulation!F802,"W","L")</f>
        <v>L</v>
      </c>
      <c r="I802" t="str">
        <f ca="1">IF(F802+最终结果!$G$12&gt;simulation!E802,"W","L")</f>
        <v>W</v>
      </c>
      <c r="J802" t="str">
        <f ca="1">IF((E802+F802)&gt;最终结果!$H$8,"Over","Under")</f>
        <v>Over</v>
      </c>
    </row>
    <row r="803" spans="3:10" x14ac:dyDescent="0.25">
      <c r="C803">
        <v>802</v>
      </c>
      <c r="D803" t="str">
        <f t="shared" ca="1" si="25"/>
        <v>-1</v>
      </c>
      <c r="E803">
        <f ca="1">ROUND(NORMINV(RAND(),最终结果!$I$8,最终结果!$E$8),0)</f>
        <v>104</v>
      </c>
      <c r="F803">
        <f ca="1">ROUND(NORMINV(RAND(),最终结果!$I$12,最终结果!$E$12),0)</f>
        <v>107</v>
      </c>
      <c r="G803" t="str">
        <f t="shared" ca="1" si="26"/>
        <v>Home</v>
      </c>
      <c r="H803" t="str">
        <f ca="1">IF(E803+最终结果!$G$8&gt;simulation!F803,"W","L")</f>
        <v>L</v>
      </c>
      <c r="I803" t="str">
        <f ca="1">IF(F803+最终结果!$G$12&gt;simulation!E803,"W","L")</f>
        <v>L</v>
      </c>
      <c r="J803" t="str">
        <f ca="1">IF((E803+F803)&gt;最终结果!$H$8,"Over","Under")</f>
        <v>Under</v>
      </c>
    </row>
    <row r="804" spans="3:10" x14ac:dyDescent="0.25">
      <c r="C804">
        <v>803</v>
      </c>
      <c r="D804" t="str">
        <f t="shared" ca="1" si="25"/>
        <v>1</v>
      </c>
      <c r="E804">
        <f ca="1">ROUND(NORMINV(RAND(),最终结果!$I$8,最终结果!$E$8),0)</f>
        <v>127</v>
      </c>
      <c r="F804">
        <f ca="1">ROUND(NORMINV(RAND(),最终结果!$I$12,最终结果!$E$12),0)</f>
        <v>90</v>
      </c>
      <c r="G804" t="str">
        <f t="shared" ca="1" si="26"/>
        <v>Away</v>
      </c>
      <c r="H804" t="str">
        <f ca="1">IF(E804+最终结果!$G$8&gt;simulation!F804,"W","L")</f>
        <v>W</v>
      </c>
      <c r="I804" t="str">
        <f ca="1">IF(F804+最终结果!$G$12&gt;simulation!E804,"W","L")</f>
        <v>L</v>
      </c>
      <c r="J804" t="str">
        <f ca="1">IF((E804+F804)&gt;最终结果!$H$8,"Over","Under")</f>
        <v>Under</v>
      </c>
    </row>
    <row r="805" spans="3:10" x14ac:dyDescent="0.25">
      <c r="C805">
        <v>804</v>
      </c>
      <c r="D805" t="str">
        <f t="shared" ca="1" si="25"/>
        <v>-1</v>
      </c>
      <c r="E805">
        <f ca="1">ROUND(NORMINV(RAND(),最终结果!$I$8,最终结果!$E$8),0)</f>
        <v>115</v>
      </c>
      <c r="F805">
        <f ca="1">ROUND(NORMINV(RAND(),最终结果!$I$12,最终结果!$E$12),0)</f>
        <v>117</v>
      </c>
      <c r="G805" t="str">
        <f t="shared" ca="1" si="26"/>
        <v>Home</v>
      </c>
      <c r="H805" t="str">
        <f ca="1">IF(E805+最终结果!$G$8&gt;simulation!F805,"W","L")</f>
        <v>W</v>
      </c>
      <c r="I805" t="str">
        <f ca="1">IF(F805+最终结果!$G$12&gt;simulation!E805,"W","L")</f>
        <v>L</v>
      </c>
      <c r="J805" t="str">
        <f ca="1">IF((E805+F805)&gt;最终结果!$H$8,"Over","Under")</f>
        <v>Under</v>
      </c>
    </row>
    <row r="806" spans="3:10" x14ac:dyDescent="0.25">
      <c r="C806">
        <v>805</v>
      </c>
      <c r="D806" t="str">
        <f t="shared" ca="1" si="25"/>
        <v>1</v>
      </c>
      <c r="E806">
        <f ca="1">ROUND(NORMINV(RAND(),最终结果!$I$8,最终结果!$E$8),0)</f>
        <v>131</v>
      </c>
      <c r="F806">
        <f ca="1">ROUND(NORMINV(RAND(),最终结果!$I$12,最终结果!$E$12),0)</f>
        <v>119</v>
      </c>
      <c r="G806" t="str">
        <f t="shared" ca="1" si="26"/>
        <v>Away</v>
      </c>
      <c r="H806" t="str">
        <f ca="1">IF(E806+最终结果!$G$8&gt;simulation!F806,"W","L")</f>
        <v>W</v>
      </c>
      <c r="I806" t="str">
        <f ca="1">IF(F806+最终结果!$G$12&gt;simulation!E806,"W","L")</f>
        <v>L</v>
      </c>
      <c r="J806" t="str">
        <f ca="1">IF((E806+F806)&gt;最终结果!$H$8,"Over","Under")</f>
        <v>Over</v>
      </c>
    </row>
    <row r="807" spans="3:10" x14ac:dyDescent="0.25">
      <c r="C807">
        <v>806</v>
      </c>
      <c r="D807" t="str">
        <f t="shared" ca="1" si="25"/>
        <v>-1</v>
      </c>
      <c r="E807">
        <f ca="1">ROUND(NORMINV(RAND(),最终结果!$I$8,最终结果!$E$8),0)</f>
        <v>129</v>
      </c>
      <c r="F807">
        <f ca="1">ROUND(NORMINV(RAND(),最终结果!$I$12,最终结果!$E$12),0)</f>
        <v>134</v>
      </c>
      <c r="G807" t="str">
        <f t="shared" ca="1" si="26"/>
        <v>Home</v>
      </c>
      <c r="H807" t="str">
        <f ca="1">IF(E807+最终结果!$G$8&gt;simulation!F807,"W","L")</f>
        <v>L</v>
      </c>
      <c r="I807" t="str">
        <f ca="1">IF(F807+最终结果!$G$12&gt;simulation!E807,"W","L")</f>
        <v>W</v>
      </c>
      <c r="J807" t="str">
        <f ca="1">IF((E807+F807)&gt;最终结果!$H$8,"Over","Under")</f>
        <v>Over</v>
      </c>
    </row>
    <row r="808" spans="3:10" x14ac:dyDescent="0.25">
      <c r="C808">
        <v>807</v>
      </c>
      <c r="D808" t="str">
        <f t="shared" ca="1" si="25"/>
        <v>1</v>
      </c>
      <c r="E808">
        <f ca="1">ROUND(NORMINV(RAND(),最终结果!$I$8,最终结果!$E$8),0)</f>
        <v>104</v>
      </c>
      <c r="F808">
        <f ca="1">ROUND(NORMINV(RAND(),最终结果!$I$12,最终结果!$E$12),0)</f>
        <v>96</v>
      </c>
      <c r="G808" t="str">
        <f t="shared" ca="1" si="26"/>
        <v>Away</v>
      </c>
      <c r="H808" t="str">
        <f ca="1">IF(E808+最终结果!$G$8&gt;simulation!F808,"W","L")</f>
        <v>W</v>
      </c>
      <c r="I808" t="str">
        <f ca="1">IF(F808+最终结果!$G$12&gt;simulation!E808,"W","L")</f>
        <v>L</v>
      </c>
      <c r="J808" t="str">
        <f ca="1">IF((E808+F808)&gt;最终结果!$H$8,"Over","Under")</f>
        <v>Under</v>
      </c>
    </row>
    <row r="809" spans="3:10" x14ac:dyDescent="0.25">
      <c r="C809">
        <v>808</v>
      </c>
      <c r="D809" t="str">
        <f t="shared" ca="1" si="25"/>
        <v>-1</v>
      </c>
      <c r="E809">
        <f ca="1">ROUND(NORMINV(RAND(),最终结果!$I$8,最终结果!$E$8),0)</f>
        <v>103</v>
      </c>
      <c r="F809">
        <f ca="1">ROUND(NORMINV(RAND(),最终结果!$I$12,最终结果!$E$12),0)</f>
        <v>141</v>
      </c>
      <c r="G809" t="str">
        <f t="shared" ca="1" si="26"/>
        <v>Home</v>
      </c>
      <c r="H809" t="str">
        <f ca="1">IF(E809+最终结果!$G$8&gt;simulation!F809,"W","L")</f>
        <v>L</v>
      </c>
      <c r="I809" t="str">
        <f ca="1">IF(F809+最终结果!$G$12&gt;simulation!E809,"W","L")</f>
        <v>W</v>
      </c>
      <c r="J809" t="str">
        <f ca="1">IF((E809+F809)&gt;最终结果!$H$8,"Over","Under")</f>
        <v>Over</v>
      </c>
    </row>
    <row r="810" spans="3:10" x14ac:dyDescent="0.25">
      <c r="C810">
        <v>809</v>
      </c>
      <c r="D810" t="str">
        <f t="shared" ca="1" si="25"/>
        <v>-1</v>
      </c>
      <c r="E810">
        <f ca="1">ROUND(NORMINV(RAND(),最终结果!$I$8,最终结果!$E$8),0)</f>
        <v>105</v>
      </c>
      <c r="F810">
        <f ca="1">ROUND(NORMINV(RAND(),最终结果!$I$12,最终结果!$E$12),0)</f>
        <v>130</v>
      </c>
      <c r="G810" t="str">
        <f t="shared" ca="1" si="26"/>
        <v>Home</v>
      </c>
      <c r="H810" t="str">
        <f ca="1">IF(E810+最终结果!$G$8&gt;simulation!F810,"W","L")</f>
        <v>L</v>
      </c>
      <c r="I810" t="str">
        <f ca="1">IF(F810+最终结果!$G$12&gt;simulation!E810,"W","L")</f>
        <v>W</v>
      </c>
      <c r="J810" t="str">
        <f ca="1">IF((E810+F810)&gt;最终结果!$H$8,"Over","Under")</f>
        <v>Under</v>
      </c>
    </row>
    <row r="811" spans="3:10" x14ac:dyDescent="0.25">
      <c r="C811">
        <v>810</v>
      </c>
      <c r="D811" t="str">
        <f t="shared" ca="1" si="25"/>
        <v>-1</v>
      </c>
      <c r="E811">
        <f ca="1">ROUND(NORMINV(RAND(),最终结果!$I$8,最终结果!$E$8),0)</f>
        <v>91</v>
      </c>
      <c r="F811">
        <f ca="1">ROUND(NORMINV(RAND(),最终结果!$I$12,最终结果!$E$12),0)</f>
        <v>116</v>
      </c>
      <c r="G811" t="str">
        <f t="shared" ca="1" si="26"/>
        <v>Home</v>
      </c>
      <c r="H811" t="str">
        <f ca="1">IF(E811+最终结果!$G$8&gt;simulation!F811,"W","L")</f>
        <v>L</v>
      </c>
      <c r="I811" t="str">
        <f ca="1">IF(F811+最终结果!$G$12&gt;simulation!E811,"W","L")</f>
        <v>W</v>
      </c>
      <c r="J811" t="str">
        <f ca="1">IF((E811+F811)&gt;最终结果!$H$8,"Over","Under")</f>
        <v>Under</v>
      </c>
    </row>
    <row r="812" spans="3:10" x14ac:dyDescent="0.25">
      <c r="C812">
        <v>811</v>
      </c>
      <c r="D812" t="str">
        <f t="shared" ca="1" si="25"/>
        <v>-1</v>
      </c>
      <c r="E812">
        <f ca="1">ROUND(NORMINV(RAND(),最终结果!$I$8,最终结果!$E$8),0)</f>
        <v>101</v>
      </c>
      <c r="F812">
        <f ca="1">ROUND(NORMINV(RAND(),最终结果!$I$12,最终结果!$E$12),0)</f>
        <v>111</v>
      </c>
      <c r="G812" t="str">
        <f t="shared" ca="1" si="26"/>
        <v>Home</v>
      </c>
      <c r="H812" t="str">
        <f ca="1">IF(E812+最终结果!$G$8&gt;simulation!F812,"W","L")</f>
        <v>L</v>
      </c>
      <c r="I812" t="str">
        <f ca="1">IF(F812+最终结果!$G$12&gt;simulation!E812,"W","L")</f>
        <v>W</v>
      </c>
      <c r="J812" t="str">
        <f ca="1">IF((E812+F812)&gt;最终结果!$H$8,"Over","Under")</f>
        <v>Under</v>
      </c>
    </row>
    <row r="813" spans="3:10" x14ac:dyDescent="0.25">
      <c r="C813">
        <v>812</v>
      </c>
      <c r="D813" t="str">
        <f t="shared" ca="1" si="25"/>
        <v>-1</v>
      </c>
      <c r="E813">
        <f ca="1">ROUND(NORMINV(RAND(),最终结果!$I$8,最终结果!$E$8),0)</f>
        <v>116</v>
      </c>
      <c r="F813">
        <f ca="1">ROUND(NORMINV(RAND(),最终结果!$I$12,最终结果!$E$12),0)</f>
        <v>126</v>
      </c>
      <c r="G813" t="str">
        <f t="shared" ca="1" si="26"/>
        <v>Home</v>
      </c>
      <c r="H813" t="str">
        <f ca="1">IF(E813+最终结果!$G$8&gt;simulation!F813,"W","L")</f>
        <v>L</v>
      </c>
      <c r="I813" t="str">
        <f ca="1">IF(F813+最终结果!$G$12&gt;simulation!E813,"W","L")</f>
        <v>W</v>
      </c>
      <c r="J813" t="str">
        <f ca="1">IF((E813+F813)&gt;最终结果!$H$8,"Over","Under")</f>
        <v>Over</v>
      </c>
    </row>
    <row r="814" spans="3:10" x14ac:dyDescent="0.25">
      <c r="C814">
        <v>813</v>
      </c>
      <c r="D814" t="str">
        <f t="shared" ca="1" si="25"/>
        <v>-1</v>
      </c>
      <c r="E814">
        <f ca="1">ROUND(NORMINV(RAND(),最终结果!$I$8,最终结果!$E$8),0)</f>
        <v>105</v>
      </c>
      <c r="F814">
        <f ca="1">ROUND(NORMINV(RAND(),最终结果!$I$12,最终结果!$E$12),0)</f>
        <v>107</v>
      </c>
      <c r="G814" t="str">
        <f t="shared" ca="1" si="26"/>
        <v>Home</v>
      </c>
      <c r="H814" t="str">
        <f ca="1">IF(E814+最终结果!$G$8&gt;simulation!F814,"W","L")</f>
        <v>W</v>
      </c>
      <c r="I814" t="str">
        <f ca="1">IF(F814+最终结果!$G$12&gt;simulation!E814,"W","L")</f>
        <v>L</v>
      </c>
      <c r="J814" t="str">
        <f ca="1">IF((E814+F814)&gt;最终结果!$H$8,"Over","Under")</f>
        <v>Under</v>
      </c>
    </row>
    <row r="815" spans="3:10" x14ac:dyDescent="0.25">
      <c r="C815">
        <v>814</v>
      </c>
      <c r="D815" t="str">
        <f t="shared" ca="1" si="25"/>
        <v>1</v>
      </c>
      <c r="E815">
        <f ca="1">ROUND(NORMINV(RAND(),最终结果!$I$8,最终结果!$E$8),0)</f>
        <v>121</v>
      </c>
      <c r="F815">
        <f ca="1">ROUND(NORMINV(RAND(),最终结果!$I$12,最终结果!$E$12),0)</f>
        <v>112</v>
      </c>
      <c r="G815" t="str">
        <f t="shared" ca="1" si="26"/>
        <v>Away</v>
      </c>
      <c r="H815" t="str">
        <f ca="1">IF(E815+最终结果!$G$8&gt;simulation!F815,"W","L")</f>
        <v>W</v>
      </c>
      <c r="I815" t="str">
        <f ca="1">IF(F815+最终结果!$G$12&gt;simulation!E815,"W","L")</f>
        <v>L</v>
      </c>
      <c r="J815" t="str">
        <f ca="1">IF((E815+F815)&gt;最终结果!$H$8,"Over","Under")</f>
        <v>Under</v>
      </c>
    </row>
    <row r="816" spans="3:10" x14ac:dyDescent="0.25">
      <c r="C816">
        <v>815</v>
      </c>
      <c r="D816" t="str">
        <f t="shared" ca="1" si="25"/>
        <v>-1</v>
      </c>
      <c r="E816">
        <f ca="1">ROUND(NORMINV(RAND(),最终结果!$I$8,最终结果!$E$8),0)</f>
        <v>102</v>
      </c>
      <c r="F816">
        <f ca="1">ROUND(NORMINV(RAND(),最终结果!$I$12,最终结果!$E$12),0)</f>
        <v>125</v>
      </c>
      <c r="G816" t="str">
        <f t="shared" ca="1" si="26"/>
        <v>Home</v>
      </c>
      <c r="H816" t="str">
        <f ca="1">IF(E816+最终结果!$G$8&gt;simulation!F816,"W","L")</f>
        <v>L</v>
      </c>
      <c r="I816" t="str">
        <f ca="1">IF(F816+最终结果!$G$12&gt;simulation!E816,"W","L")</f>
        <v>W</v>
      </c>
      <c r="J816" t="str">
        <f ca="1">IF((E816+F816)&gt;最终结果!$H$8,"Over","Under")</f>
        <v>Under</v>
      </c>
    </row>
    <row r="817" spans="3:10" x14ac:dyDescent="0.25">
      <c r="C817">
        <v>816</v>
      </c>
      <c r="D817" t="str">
        <f t="shared" ca="1" si="25"/>
        <v>-1</v>
      </c>
      <c r="E817">
        <f ca="1">ROUND(NORMINV(RAND(),最终结果!$I$8,最终结果!$E$8),0)</f>
        <v>116</v>
      </c>
      <c r="F817">
        <f ca="1">ROUND(NORMINV(RAND(),最终结果!$I$12,最终结果!$E$12),0)</f>
        <v>120</v>
      </c>
      <c r="G817" t="str">
        <f t="shared" ca="1" si="26"/>
        <v>Home</v>
      </c>
      <c r="H817" t="str">
        <f ca="1">IF(E817+最终结果!$G$8&gt;simulation!F817,"W","L")</f>
        <v>L</v>
      </c>
      <c r="I817" t="str">
        <f ca="1">IF(F817+最终结果!$G$12&gt;simulation!E817,"W","L")</f>
        <v>W</v>
      </c>
      <c r="J817" t="str">
        <f ca="1">IF((E817+F817)&gt;最终结果!$H$8,"Over","Under")</f>
        <v>Under</v>
      </c>
    </row>
    <row r="818" spans="3:10" x14ac:dyDescent="0.25">
      <c r="C818">
        <v>817</v>
      </c>
      <c r="D818" t="str">
        <f t="shared" ca="1" si="25"/>
        <v>-1</v>
      </c>
      <c r="E818">
        <f ca="1">ROUND(NORMINV(RAND(),最终结果!$I$8,最终结果!$E$8),0)</f>
        <v>107</v>
      </c>
      <c r="F818">
        <f ca="1">ROUND(NORMINV(RAND(),最终结果!$I$12,最终结果!$E$12),0)</f>
        <v>113</v>
      </c>
      <c r="G818" t="str">
        <f t="shared" ca="1" si="26"/>
        <v>Home</v>
      </c>
      <c r="H818" t="str">
        <f ca="1">IF(E818+最终结果!$G$8&gt;simulation!F818,"W","L")</f>
        <v>L</v>
      </c>
      <c r="I818" t="str">
        <f ca="1">IF(F818+最终结果!$G$12&gt;simulation!E818,"W","L")</f>
        <v>W</v>
      </c>
      <c r="J818" t="str">
        <f ca="1">IF((E818+F818)&gt;最终结果!$H$8,"Over","Under")</f>
        <v>Under</v>
      </c>
    </row>
    <row r="819" spans="3:10" x14ac:dyDescent="0.25">
      <c r="C819">
        <v>818</v>
      </c>
      <c r="D819" t="str">
        <f t="shared" ca="1" si="25"/>
        <v>-1</v>
      </c>
      <c r="E819">
        <f ca="1">ROUND(NORMINV(RAND(),最终结果!$I$8,最终结果!$E$8),0)</f>
        <v>98</v>
      </c>
      <c r="F819">
        <f ca="1">ROUND(NORMINV(RAND(),最终结果!$I$12,最终结果!$E$12),0)</f>
        <v>129</v>
      </c>
      <c r="G819" t="str">
        <f t="shared" ca="1" si="26"/>
        <v>Home</v>
      </c>
      <c r="H819" t="str">
        <f ca="1">IF(E819+最终结果!$G$8&gt;simulation!F819,"W","L")</f>
        <v>L</v>
      </c>
      <c r="I819" t="str">
        <f ca="1">IF(F819+最终结果!$G$12&gt;simulation!E819,"W","L")</f>
        <v>W</v>
      </c>
      <c r="J819" t="str">
        <f ca="1">IF((E819+F819)&gt;最终结果!$H$8,"Over","Under")</f>
        <v>Under</v>
      </c>
    </row>
    <row r="820" spans="3:10" x14ac:dyDescent="0.25">
      <c r="C820">
        <v>819</v>
      </c>
      <c r="D820">
        <f t="shared" ca="1" si="25"/>
        <v>0</v>
      </c>
      <c r="E820">
        <f ca="1">ROUND(NORMINV(RAND(),最终结果!$I$8,最终结果!$E$8),0)</f>
        <v>122</v>
      </c>
      <c r="F820">
        <f ca="1">ROUND(NORMINV(RAND(),最终结果!$I$12,最终结果!$E$12),0)</f>
        <v>122</v>
      </c>
      <c r="G820" t="str">
        <f t="shared" ca="1" si="26"/>
        <v>OT</v>
      </c>
      <c r="H820" t="str">
        <f ca="1">IF(E820+最终结果!$G$8&gt;simulation!F820,"W","L")</f>
        <v>W</v>
      </c>
      <c r="I820" t="str">
        <f ca="1">IF(F820+最终结果!$G$12&gt;simulation!E820,"W","L")</f>
        <v>L</v>
      </c>
      <c r="J820" t="str">
        <f ca="1">IF((E820+F820)&gt;最终结果!$H$8,"Over","Under")</f>
        <v>Over</v>
      </c>
    </row>
    <row r="821" spans="3:10" x14ac:dyDescent="0.25">
      <c r="C821">
        <v>820</v>
      </c>
      <c r="D821" t="str">
        <f t="shared" ca="1" si="25"/>
        <v>-1</v>
      </c>
      <c r="E821">
        <f ca="1">ROUND(NORMINV(RAND(),最终结果!$I$8,最终结果!$E$8),0)</f>
        <v>104</v>
      </c>
      <c r="F821">
        <f ca="1">ROUND(NORMINV(RAND(),最终结果!$I$12,最终结果!$E$12),0)</f>
        <v>125</v>
      </c>
      <c r="G821" t="str">
        <f t="shared" ca="1" si="26"/>
        <v>Home</v>
      </c>
      <c r="H821" t="str">
        <f ca="1">IF(E821+最终结果!$G$8&gt;simulation!F821,"W","L")</f>
        <v>L</v>
      </c>
      <c r="I821" t="str">
        <f ca="1">IF(F821+最终结果!$G$12&gt;simulation!E821,"W","L")</f>
        <v>W</v>
      </c>
      <c r="J821" t="str">
        <f ca="1">IF((E821+F821)&gt;最终结果!$H$8,"Over","Under")</f>
        <v>Under</v>
      </c>
    </row>
    <row r="822" spans="3:10" x14ac:dyDescent="0.25">
      <c r="C822">
        <v>821</v>
      </c>
      <c r="D822" t="str">
        <f t="shared" ca="1" si="25"/>
        <v>-1</v>
      </c>
      <c r="E822">
        <f ca="1">ROUND(NORMINV(RAND(),最终结果!$I$8,最终结果!$E$8),0)</f>
        <v>98</v>
      </c>
      <c r="F822">
        <f ca="1">ROUND(NORMINV(RAND(),最终结果!$I$12,最终结果!$E$12),0)</f>
        <v>118</v>
      </c>
      <c r="G822" t="str">
        <f t="shared" ca="1" si="26"/>
        <v>Home</v>
      </c>
      <c r="H822" t="str">
        <f ca="1">IF(E822+最终结果!$G$8&gt;simulation!F822,"W","L")</f>
        <v>L</v>
      </c>
      <c r="I822" t="str">
        <f ca="1">IF(F822+最终结果!$G$12&gt;simulation!E822,"W","L")</f>
        <v>W</v>
      </c>
      <c r="J822" t="str">
        <f ca="1">IF((E822+F822)&gt;最终结果!$H$8,"Over","Under")</f>
        <v>Under</v>
      </c>
    </row>
    <row r="823" spans="3:10" x14ac:dyDescent="0.25">
      <c r="C823">
        <v>822</v>
      </c>
      <c r="D823" t="str">
        <f t="shared" ca="1" si="25"/>
        <v>1</v>
      </c>
      <c r="E823">
        <f ca="1">ROUND(NORMINV(RAND(),最终结果!$I$8,最终结果!$E$8),0)</f>
        <v>123</v>
      </c>
      <c r="F823">
        <f ca="1">ROUND(NORMINV(RAND(),最终结果!$I$12,最终结果!$E$12),0)</f>
        <v>109</v>
      </c>
      <c r="G823" t="str">
        <f t="shared" ca="1" si="26"/>
        <v>Away</v>
      </c>
      <c r="H823" t="str">
        <f ca="1">IF(E823+最终结果!$G$8&gt;simulation!F823,"W","L")</f>
        <v>W</v>
      </c>
      <c r="I823" t="str">
        <f ca="1">IF(F823+最终结果!$G$12&gt;simulation!E823,"W","L")</f>
        <v>L</v>
      </c>
      <c r="J823" t="str">
        <f ca="1">IF((E823+F823)&gt;最终结果!$H$8,"Over","Under")</f>
        <v>Under</v>
      </c>
    </row>
    <row r="824" spans="3:10" x14ac:dyDescent="0.25">
      <c r="C824">
        <v>823</v>
      </c>
      <c r="D824" t="str">
        <f t="shared" ca="1" si="25"/>
        <v>-1</v>
      </c>
      <c r="E824">
        <f ca="1">ROUND(NORMINV(RAND(),最终结果!$I$8,最终结果!$E$8),0)</f>
        <v>135</v>
      </c>
      <c r="F824">
        <f ca="1">ROUND(NORMINV(RAND(),最终结果!$I$12,最终结果!$E$12),0)</f>
        <v>137</v>
      </c>
      <c r="G824" t="str">
        <f t="shared" ca="1" si="26"/>
        <v>Home</v>
      </c>
      <c r="H824" t="str">
        <f ca="1">IF(E824+最终结果!$G$8&gt;simulation!F824,"W","L")</f>
        <v>W</v>
      </c>
      <c r="I824" t="str">
        <f ca="1">IF(F824+最终结果!$G$12&gt;simulation!E824,"W","L")</f>
        <v>L</v>
      </c>
      <c r="J824" t="str">
        <f ca="1">IF((E824+F824)&gt;最终结果!$H$8,"Over","Under")</f>
        <v>Over</v>
      </c>
    </row>
    <row r="825" spans="3:10" x14ac:dyDescent="0.25">
      <c r="C825">
        <v>824</v>
      </c>
      <c r="D825" t="str">
        <f t="shared" ca="1" si="25"/>
        <v>1</v>
      </c>
      <c r="E825">
        <f ca="1">ROUND(NORMINV(RAND(),最终结果!$I$8,最终结果!$E$8),0)</f>
        <v>129</v>
      </c>
      <c r="F825">
        <f ca="1">ROUND(NORMINV(RAND(),最终结果!$I$12,最终结果!$E$12),0)</f>
        <v>118</v>
      </c>
      <c r="G825" t="str">
        <f t="shared" ca="1" si="26"/>
        <v>Away</v>
      </c>
      <c r="H825" t="str">
        <f ca="1">IF(E825+最终结果!$G$8&gt;simulation!F825,"W","L")</f>
        <v>W</v>
      </c>
      <c r="I825" t="str">
        <f ca="1">IF(F825+最终结果!$G$12&gt;simulation!E825,"W","L")</f>
        <v>L</v>
      </c>
      <c r="J825" t="str">
        <f ca="1">IF((E825+F825)&gt;最终结果!$H$8,"Over","Under")</f>
        <v>Over</v>
      </c>
    </row>
    <row r="826" spans="3:10" x14ac:dyDescent="0.25">
      <c r="C826">
        <v>825</v>
      </c>
      <c r="D826" t="str">
        <f t="shared" ca="1" si="25"/>
        <v>1</v>
      </c>
      <c r="E826">
        <f ca="1">ROUND(NORMINV(RAND(),最终结果!$I$8,最终结果!$E$8),0)</f>
        <v>134</v>
      </c>
      <c r="F826">
        <f ca="1">ROUND(NORMINV(RAND(),最终结果!$I$12,最终结果!$E$12),0)</f>
        <v>106</v>
      </c>
      <c r="G826" t="str">
        <f t="shared" ca="1" si="26"/>
        <v>Away</v>
      </c>
      <c r="H826" t="str">
        <f ca="1">IF(E826+最终结果!$G$8&gt;simulation!F826,"W","L")</f>
        <v>W</v>
      </c>
      <c r="I826" t="str">
        <f ca="1">IF(F826+最终结果!$G$12&gt;simulation!E826,"W","L")</f>
        <v>L</v>
      </c>
      <c r="J826" t="str">
        <f ca="1">IF((E826+F826)&gt;最终结果!$H$8,"Over","Under")</f>
        <v>Over</v>
      </c>
    </row>
    <row r="827" spans="3:10" x14ac:dyDescent="0.25">
      <c r="C827">
        <v>826</v>
      </c>
      <c r="D827" t="str">
        <f t="shared" ca="1" si="25"/>
        <v>-1</v>
      </c>
      <c r="E827">
        <f ca="1">ROUND(NORMINV(RAND(),最终结果!$I$8,最终结果!$E$8),0)</f>
        <v>100</v>
      </c>
      <c r="F827">
        <f ca="1">ROUND(NORMINV(RAND(),最终结果!$I$12,最终结果!$E$12),0)</f>
        <v>110</v>
      </c>
      <c r="G827" t="str">
        <f t="shared" ca="1" si="26"/>
        <v>Home</v>
      </c>
      <c r="H827" t="str">
        <f ca="1">IF(E827+最终结果!$G$8&gt;simulation!F827,"W","L")</f>
        <v>L</v>
      </c>
      <c r="I827" t="str">
        <f ca="1">IF(F827+最终结果!$G$12&gt;simulation!E827,"W","L")</f>
        <v>W</v>
      </c>
      <c r="J827" t="str">
        <f ca="1">IF((E827+F827)&gt;最终结果!$H$8,"Over","Under")</f>
        <v>Under</v>
      </c>
    </row>
    <row r="828" spans="3:10" x14ac:dyDescent="0.25">
      <c r="C828">
        <v>827</v>
      </c>
      <c r="D828" t="str">
        <f t="shared" ca="1" si="25"/>
        <v>-1</v>
      </c>
      <c r="E828">
        <f ca="1">ROUND(NORMINV(RAND(),最终结果!$I$8,最终结果!$E$8),0)</f>
        <v>94</v>
      </c>
      <c r="F828">
        <f ca="1">ROUND(NORMINV(RAND(),最终结果!$I$12,最终结果!$E$12),0)</f>
        <v>103</v>
      </c>
      <c r="G828" t="str">
        <f t="shared" ca="1" si="26"/>
        <v>Home</v>
      </c>
      <c r="H828" t="str">
        <f ca="1">IF(E828+最终结果!$G$8&gt;simulation!F828,"W","L")</f>
        <v>L</v>
      </c>
      <c r="I828" t="str">
        <f ca="1">IF(F828+最终结果!$G$12&gt;simulation!E828,"W","L")</f>
        <v>W</v>
      </c>
      <c r="J828" t="str">
        <f ca="1">IF((E828+F828)&gt;最终结果!$H$8,"Over","Under")</f>
        <v>Under</v>
      </c>
    </row>
    <row r="829" spans="3:10" x14ac:dyDescent="0.25">
      <c r="C829">
        <v>828</v>
      </c>
      <c r="D829" t="str">
        <f t="shared" ca="1" si="25"/>
        <v>-1</v>
      </c>
      <c r="E829">
        <f ca="1">ROUND(NORMINV(RAND(),最终结果!$I$8,最终结果!$E$8),0)</f>
        <v>109</v>
      </c>
      <c r="F829">
        <f ca="1">ROUND(NORMINV(RAND(),最终结果!$I$12,最终结果!$E$12),0)</f>
        <v>124</v>
      </c>
      <c r="G829" t="str">
        <f t="shared" ca="1" si="26"/>
        <v>Home</v>
      </c>
      <c r="H829" t="str">
        <f ca="1">IF(E829+最终结果!$G$8&gt;simulation!F829,"W","L")</f>
        <v>L</v>
      </c>
      <c r="I829" t="str">
        <f ca="1">IF(F829+最终结果!$G$12&gt;simulation!E829,"W","L")</f>
        <v>W</v>
      </c>
      <c r="J829" t="str">
        <f ca="1">IF((E829+F829)&gt;最终结果!$H$8,"Over","Under")</f>
        <v>Under</v>
      </c>
    </row>
    <row r="830" spans="3:10" x14ac:dyDescent="0.25">
      <c r="C830">
        <v>829</v>
      </c>
      <c r="D830" t="str">
        <f t="shared" ca="1" si="25"/>
        <v>1</v>
      </c>
      <c r="E830">
        <f ca="1">ROUND(NORMINV(RAND(),最终结果!$I$8,最终结果!$E$8),0)</f>
        <v>125</v>
      </c>
      <c r="F830">
        <f ca="1">ROUND(NORMINV(RAND(),最终结果!$I$12,最终结果!$E$12),0)</f>
        <v>119</v>
      </c>
      <c r="G830" t="str">
        <f t="shared" ca="1" si="26"/>
        <v>Away</v>
      </c>
      <c r="H830" t="str">
        <f ca="1">IF(E830+最终结果!$G$8&gt;simulation!F830,"W","L")</f>
        <v>W</v>
      </c>
      <c r="I830" t="str">
        <f ca="1">IF(F830+最终结果!$G$12&gt;simulation!E830,"W","L")</f>
        <v>L</v>
      </c>
      <c r="J830" t="str">
        <f ca="1">IF((E830+F830)&gt;最终结果!$H$8,"Over","Under")</f>
        <v>Over</v>
      </c>
    </row>
    <row r="831" spans="3:10" x14ac:dyDescent="0.25">
      <c r="C831">
        <v>830</v>
      </c>
      <c r="D831" t="str">
        <f t="shared" ca="1" si="25"/>
        <v>-1</v>
      </c>
      <c r="E831">
        <f ca="1">ROUND(NORMINV(RAND(),最终结果!$I$8,最终结果!$E$8),0)</f>
        <v>123</v>
      </c>
      <c r="F831">
        <f ca="1">ROUND(NORMINV(RAND(),最终结果!$I$12,最终结果!$E$12),0)</f>
        <v>136</v>
      </c>
      <c r="G831" t="str">
        <f t="shared" ca="1" si="26"/>
        <v>Home</v>
      </c>
      <c r="H831" t="str">
        <f ca="1">IF(E831+最终结果!$G$8&gt;simulation!F831,"W","L")</f>
        <v>L</v>
      </c>
      <c r="I831" t="str">
        <f ca="1">IF(F831+最终结果!$G$12&gt;simulation!E831,"W","L")</f>
        <v>W</v>
      </c>
      <c r="J831" t="str">
        <f ca="1">IF((E831+F831)&gt;最终结果!$H$8,"Over","Under")</f>
        <v>Over</v>
      </c>
    </row>
    <row r="832" spans="3:10" x14ac:dyDescent="0.25">
      <c r="C832">
        <v>831</v>
      </c>
      <c r="D832" t="str">
        <f t="shared" ca="1" si="25"/>
        <v>1</v>
      </c>
      <c r="E832">
        <f ca="1">ROUND(NORMINV(RAND(),最终结果!$I$8,最终结果!$E$8),0)</f>
        <v>136</v>
      </c>
      <c r="F832">
        <f ca="1">ROUND(NORMINV(RAND(),最终结果!$I$12,最终结果!$E$12),0)</f>
        <v>109</v>
      </c>
      <c r="G832" t="str">
        <f t="shared" ca="1" si="26"/>
        <v>Away</v>
      </c>
      <c r="H832" t="str">
        <f ca="1">IF(E832+最终结果!$G$8&gt;simulation!F832,"W","L")</f>
        <v>W</v>
      </c>
      <c r="I832" t="str">
        <f ca="1">IF(F832+最终结果!$G$12&gt;simulation!E832,"W","L")</f>
        <v>L</v>
      </c>
      <c r="J832" t="str">
        <f ca="1">IF((E832+F832)&gt;最终结果!$H$8,"Over","Under")</f>
        <v>Over</v>
      </c>
    </row>
    <row r="833" spans="3:10" x14ac:dyDescent="0.25">
      <c r="C833">
        <v>832</v>
      </c>
      <c r="D833" t="str">
        <f t="shared" ca="1" si="25"/>
        <v>-1</v>
      </c>
      <c r="E833">
        <f ca="1">ROUND(NORMINV(RAND(),最终结果!$I$8,最终结果!$E$8),0)</f>
        <v>111</v>
      </c>
      <c r="F833">
        <f ca="1">ROUND(NORMINV(RAND(),最终结果!$I$12,最终结果!$E$12),0)</f>
        <v>116</v>
      </c>
      <c r="G833" t="str">
        <f t="shared" ca="1" si="26"/>
        <v>Home</v>
      </c>
      <c r="H833" t="str">
        <f ca="1">IF(E833+最终结果!$G$8&gt;simulation!F833,"W","L")</f>
        <v>L</v>
      </c>
      <c r="I833" t="str">
        <f ca="1">IF(F833+最终结果!$G$12&gt;simulation!E833,"W","L")</f>
        <v>W</v>
      </c>
      <c r="J833" t="str">
        <f ca="1">IF((E833+F833)&gt;最终结果!$H$8,"Over","Under")</f>
        <v>Under</v>
      </c>
    </row>
    <row r="834" spans="3:10" x14ac:dyDescent="0.25">
      <c r="C834">
        <v>833</v>
      </c>
      <c r="D834" t="str">
        <f t="shared" ca="1" si="25"/>
        <v>-1</v>
      </c>
      <c r="E834">
        <f ca="1">ROUND(NORMINV(RAND(),最终结果!$I$8,最终结果!$E$8),0)</f>
        <v>109</v>
      </c>
      <c r="F834">
        <f ca="1">ROUND(NORMINV(RAND(),最终结果!$I$12,最终结果!$E$12),0)</f>
        <v>125</v>
      </c>
      <c r="G834" t="str">
        <f t="shared" ca="1" si="26"/>
        <v>Home</v>
      </c>
      <c r="H834" t="str">
        <f ca="1">IF(E834+最终结果!$G$8&gt;simulation!F834,"W","L")</f>
        <v>L</v>
      </c>
      <c r="I834" t="str">
        <f ca="1">IF(F834+最终结果!$G$12&gt;simulation!E834,"W","L")</f>
        <v>W</v>
      </c>
      <c r="J834" t="str">
        <f ca="1">IF((E834+F834)&gt;最终结果!$H$8,"Over","Under")</f>
        <v>Under</v>
      </c>
    </row>
    <row r="835" spans="3:10" x14ac:dyDescent="0.25">
      <c r="C835">
        <v>834</v>
      </c>
      <c r="D835" t="str">
        <f t="shared" ref="D835:D898" ca="1" si="27">IF(E835=F835,0,IF(E835&gt;F835,"1","-1"))</f>
        <v>-1</v>
      </c>
      <c r="E835">
        <f ca="1">ROUND(NORMINV(RAND(),最终结果!$I$8,最终结果!$E$8),0)</f>
        <v>107</v>
      </c>
      <c r="F835">
        <f ca="1">ROUND(NORMINV(RAND(),最终结果!$I$12,最终结果!$E$12),0)</f>
        <v>117</v>
      </c>
      <c r="G835" t="str">
        <f t="shared" ca="1" si="26"/>
        <v>Home</v>
      </c>
      <c r="H835" t="str">
        <f ca="1">IF(E835+最终结果!$G$8&gt;simulation!F835,"W","L")</f>
        <v>L</v>
      </c>
      <c r="I835" t="str">
        <f ca="1">IF(F835+最终结果!$G$12&gt;simulation!E835,"W","L")</f>
        <v>W</v>
      </c>
      <c r="J835" t="str">
        <f ca="1">IF((E835+F835)&gt;最终结果!$H$8,"Over","Under")</f>
        <v>Under</v>
      </c>
    </row>
    <row r="836" spans="3:10" x14ac:dyDescent="0.25">
      <c r="C836">
        <v>835</v>
      </c>
      <c r="D836" t="str">
        <f t="shared" ca="1" si="27"/>
        <v>-1</v>
      </c>
      <c r="E836">
        <f ca="1">ROUND(NORMINV(RAND(),最终结果!$I$8,最终结果!$E$8),0)</f>
        <v>94</v>
      </c>
      <c r="F836">
        <f ca="1">ROUND(NORMINV(RAND(),最终结果!$I$12,最终结果!$E$12),0)</f>
        <v>142</v>
      </c>
      <c r="G836" t="str">
        <f t="shared" ca="1" si="26"/>
        <v>Home</v>
      </c>
      <c r="H836" t="str">
        <f ca="1">IF(E836+最终结果!$G$8&gt;simulation!F836,"W","L")</f>
        <v>L</v>
      </c>
      <c r="I836" t="str">
        <f ca="1">IF(F836+最终结果!$G$12&gt;simulation!E836,"W","L")</f>
        <v>W</v>
      </c>
      <c r="J836" t="str">
        <f ca="1">IF((E836+F836)&gt;最终结果!$H$8,"Over","Under")</f>
        <v>Under</v>
      </c>
    </row>
    <row r="837" spans="3:10" x14ac:dyDescent="0.25">
      <c r="C837">
        <v>836</v>
      </c>
      <c r="D837" t="str">
        <f t="shared" ca="1" si="27"/>
        <v>-1</v>
      </c>
      <c r="E837">
        <f ca="1">ROUND(NORMINV(RAND(),最终结果!$I$8,最终结果!$E$8),0)</f>
        <v>99</v>
      </c>
      <c r="F837">
        <f ca="1">ROUND(NORMINV(RAND(),最终结果!$I$12,最终结果!$E$12),0)</f>
        <v>126</v>
      </c>
      <c r="G837" t="str">
        <f t="shared" ca="1" si="26"/>
        <v>Home</v>
      </c>
      <c r="H837" t="str">
        <f ca="1">IF(E837+最终结果!$G$8&gt;simulation!F837,"W","L")</f>
        <v>L</v>
      </c>
      <c r="I837" t="str">
        <f ca="1">IF(F837+最终结果!$G$12&gt;simulation!E837,"W","L")</f>
        <v>W</v>
      </c>
      <c r="J837" t="str">
        <f ca="1">IF((E837+F837)&gt;最终结果!$H$8,"Over","Under")</f>
        <v>Under</v>
      </c>
    </row>
    <row r="838" spans="3:10" x14ac:dyDescent="0.25">
      <c r="C838">
        <v>837</v>
      </c>
      <c r="D838" t="str">
        <f t="shared" ca="1" si="27"/>
        <v>1</v>
      </c>
      <c r="E838">
        <f ca="1">ROUND(NORMINV(RAND(),最终结果!$I$8,最终结果!$E$8),0)</f>
        <v>121</v>
      </c>
      <c r="F838">
        <f ca="1">ROUND(NORMINV(RAND(),最终结果!$I$12,最终结果!$E$12),0)</f>
        <v>118</v>
      </c>
      <c r="G838" t="str">
        <f t="shared" ca="1" si="26"/>
        <v>Away</v>
      </c>
      <c r="H838" t="str">
        <f ca="1">IF(E838+最终结果!$G$8&gt;simulation!F838,"W","L")</f>
        <v>W</v>
      </c>
      <c r="I838" t="str">
        <f ca="1">IF(F838+最终结果!$G$12&gt;simulation!E838,"W","L")</f>
        <v>L</v>
      </c>
      <c r="J838" t="str">
        <f ca="1">IF((E838+F838)&gt;最终结果!$H$8,"Over","Under")</f>
        <v>Over</v>
      </c>
    </row>
    <row r="839" spans="3:10" x14ac:dyDescent="0.25">
      <c r="C839">
        <v>838</v>
      </c>
      <c r="D839" t="str">
        <f t="shared" ca="1" si="27"/>
        <v>-1</v>
      </c>
      <c r="E839">
        <f ca="1">ROUND(NORMINV(RAND(),最终结果!$I$8,最终结果!$E$8),0)</f>
        <v>108</v>
      </c>
      <c r="F839">
        <f ca="1">ROUND(NORMINV(RAND(),最终结果!$I$12,最终结果!$E$12),0)</f>
        <v>115</v>
      </c>
      <c r="G839" t="str">
        <f t="shared" ca="1" si="26"/>
        <v>Home</v>
      </c>
      <c r="H839" t="str">
        <f ca="1">IF(E839+最终结果!$G$8&gt;simulation!F839,"W","L")</f>
        <v>L</v>
      </c>
      <c r="I839" t="str">
        <f ca="1">IF(F839+最终结果!$G$12&gt;simulation!E839,"W","L")</f>
        <v>W</v>
      </c>
      <c r="J839" t="str">
        <f ca="1">IF((E839+F839)&gt;最终结果!$H$8,"Over","Under")</f>
        <v>Under</v>
      </c>
    </row>
    <row r="840" spans="3:10" x14ac:dyDescent="0.25">
      <c r="C840">
        <v>839</v>
      </c>
      <c r="D840" t="str">
        <f t="shared" ca="1" si="27"/>
        <v>1</v>
      </c>
      <c r="E840">
        <f ca="1">ROUND(NORMINV(RAND(),最终结果!$I$8,最终结果!$E$8),0)</f>
        <v>111</v>
      </c>
      <c r="F840">
        <f ca="1">ROUND(NORMINV(RAND(),最终结果!$I$12,最终结果!$E$12),0)</f>
        <v>103</v>
      </c>
      <c r="G840" t="str">
        <f t="shared" ca="1" si="26"/>
        <v>Away</v>
      </c>
      <c r="H840" t="str">
        <f ca="1">IF(E840+最终结果!$G$8&gt;simulation!F840,"W","L")</f>
        <v>W</v>
      </c>
      <c r="I840" t="str">
        <f ca="1">IF(F840+最终结果!$G$12&gt;simulation!E840,"W","L")</f>
        <v>L</v>
      </c>
      <c r="J840" t="str">
        <f ca="1">IF((E840+F840)&gt;最终结果!$H$8,"Over","Under")</f>
        <v>Under</v>
      </c>
    </row>
    <row r="841" spans="3:10" x14ac:dyDescent="0.25">
      <c r="C841">
        <v>840</v>
      </c>
      <c r="D841" t="str">
        <f t="shared" ca="1" si="27"/>
        <v>-1</v>
      </c>
      <c r="E841">
        <f ca="1">ROUND(NORMINV(RAND(),最终结果!$I$8,最终结果!$E$8),0)</f>
        <v>93</v>
      </c>
      <c r="F841">
        <f ca="1">ROUND(NORMINV(RAND(),最终结果!$I$12,最终结果!$E$12),0)</f>
        <v>101</v>
      </c>
      <c r="G841" t="str">
        <f t="shared" ca="1" si="26"/>
        <v>Home</v>
      </c>
      <c r="H841" t="str">
        <f ca="1">IF(E841+最终结果!$G$8&gt;simulation!F841,"W","L")</f>
        <v>L</v>
      </c>
      <c r="I841" t="str">
        <f ca="1">IF(F841+最终结果!$G$12&gt;simulation!E841,"W","L")</f>
        <v>W</v>
      </c>
      <c r="J841" t="str">
        <f ca="1">IF((E841+F841)&gt;最终结果!$H$8,"Over","Under")</f>
        <v>Under</v>
      </c>
    </row>
    <row r="842" spans="3:10" x14ac:dyDescent="0.25">
      <c r="C842">
        <v>841</v>
      </c>
      <c r="D842" t="str">
        <f t="shared" ca="1" si="27"/>
        <v>-1</v>
      </c>
      <c r="E842">
        <f ca="1">ROUND(NORMINV(RAND(),最终结果!$I$8,最终结果!$E$8),0)</f>
        <v>97</v>
      </c>
      <c r="F842">
        <f ca="1">ROUND(NORMINV(RAND(),最终结果!$I$12,最终结果!$E$12),0)</f>
        <v>128</v>
      </c>
      <c r="G842" t="str">
        <f t="shared" ca="1" si="26"/>
        <v>Home</v>
      </c>
      <c r="H842" t="str">
        <f ca="1">IF(E842+最终结果!$G$8&gt;simulation!F842,"W","L")</f>
        <v>L</v>
      </c>
      <c r="I842" t="str">
        <f ca="1">IF(F842+最终结果!$G$12&gt;simulation!E842,"W","L")</f>
        <v>W</v>
      </c>
      <c r="J842" t="str">
        <f ca="1">IF((E842+F842)&gt;最终结果!$H$8,"Over","Under")</f>
        <v>Under</v>
      </c>
    </row>
    <row r="843" spans="3:10" x14ac:dyDescent="0.25">
      <c r="C843">
        <v>842</v>
      </c>
      <c r="D843" t="str">
        <f t="shared" ca="1" si="27"/>
        <v>1</v>
      </c>
      <c r="E843">
        <f ca="1">ROUND(NORMINV(RAND(),最终结果!$I$8,最终结果!$E$8),0)</f>
        <v>132</v>
      </c>
      <c r="F843">
        <f ca="1">ROUND(NORMINV(RAND(),最终结果!$I$12,最终结果!$E$12),0)</f>
        <v>101</v>
      </c>
      <c r="G843" t="str">
        <f t="shared" ca="1" si="26"/>
        <v>Away</v>
      </c>
      <c r="H843" t="str">
        <f ca="1">IF(E843+最终结果!$G$8&gt;simulation!F843,"W","L")</f>
        <v>W</v>
      </c>
      <c r="I843" t="str">
        <f ca="1">IF(F843+最终结果!$G$12&gt;simulation!E843,"W","L")</f>
        <v>L</v>
      </c>
      <c r="J843" t="str">
        <f ca="1">IF((E843+F843)&gt;最终结果!$H$8,"Over","Under")</f>
        <v>Under</v>
      </c>
    </row>
    <row r="844" spans="3:10" x14ac:dyDescent="0.25">
      <c r="C844">
        <v>843</v>
      </c>
      <c r="D844" t="str">
        <f t="shared" ca="1" si="27"/>
        <v>1</v>
      </c>
      <c r="E844">
        <f ca="1">ROUND(NORMINV(RAND(),最终结果!$I$8,最终结果!$E$8),0)</f>
        <v>124</v>
      </c>
      <c r="F844">
        <f ca="1">ROUND(NORMINV(RAND(),最终结果!$I$12,最终结果!$E$12),0)</f>
        <v>112</v>
      </c>
      <c r="G844" t="str">
        <f t="shared" ca="1" si="26"/>
        <v>Away</v>
      </c>
      <c r="H844" t="str">
        <f ca="1">IF(E844+最终结果!$G$8&gt;simulation!F844,"W","L")</f>
        <v>W</v>
      </c>
      <c r="I844" t="str">
        <f ca="1">IF(F844+最终结果!$G$12&gt;simulation!E844,"W","L")</f>
        <v>L</v>
      </c>
      <c r="J844" t="str">
        <f ca="1">IF((E844+F844)&gt;最终结果!$H$8,"Over","Under")</f>
        <v>Under</v>
      </c>
    </row>
    <row r="845" spans="3:10" x14ac:dyDescent="0.25">
      <c r="C845">
        <v>844</v>
      </c>
      <c r="D845" t="str">
        <f t="shared" ca="1" si="27"/>
        <v>-1</v>
      </c>
      <c r="E845">
        <f ca="1">ROUND(NORMINV(RAND(),最终结果!$I$8,最终结果!$E$8),0)</f>
        <v>92</v>
      </c>
      <c r="F845">
        <f ca="1">ROUND(NORMINV(RAND(),最终结果!$I$12,最终结果!$E$12),0)</f>
        <v>129</v>
      </c>
      <c r="G845" t="str">
        <f t="shared" ca="1" si="26"/>
        <v>Home</v>
      </c>
      <c r="H845" t="str">
        <f ca="1">IF(E845+最终结果!$G$8&gt;simulation!F845,"W","L")</f>
        <v>L</v>
      </c>
      <c r="I845" t="str">
        <f ca="1">IF(F845+最终结果!$G$12&gt;simulation!E845,"W","L")</f>
        <v>W</v>
      </c>
      <c r="J845" t="str">
        <f ca="1">IF((E845+F845)&gt;最终结果!$H$8,"Over","Under")</f>
        <v>Under</v>
      </c>
    </row>
    <row r="846" spans="3:10" x14ac:dyDescent="0.25">
      <c r="C846">
        <v>845</v>
      </c>
      <c r="D846" t="str">
        <f t="shared" ca="1" si="27"/>
        <v>-1</v>
      </c>
      <c r="E846">
        <f ca="1">ROUND(NORMINV(RAND(),最终结果!$I$8,最终结果!$E$8),0)</f>
        <v>116</v>
      </c>
      <c r="F846">
        <f ca="1">ROUND(NORMINV(RAND(),最终结果!$I$12,最终结果!$E$12),0)</f>
        <v>118</v>
      </c>
      <c r="G846" t="str">
        <f t="shared" ref="G846:G909" ca="1" si="28">IF(E846=F846,"OT",IF(E846&gt;F846,"Away","Home"))</f>
        <v>Home</v>
      </c>
      <c r="H846" t="str">
        <f ca="1">IF(E846+最终结果!$G$8&gt;simulation!F846,"W","L")</f>
        <v>W</v>
      </c>
      <c r="I846" t="str">
        <f ca="1">IF(F846+最终结果!$G$12&gt;simulation!E846,"W","L")</f>
        <v>L</v>
      </c>
      <c r="J846" t="str">
        <f ca="1">IF((E846+F846)&gt;最终结果!$H$8,"Over","Under")</f>
        <v>Under</v>
      </c>
    </row>
    <row r="847" spans="3:10" x14ac:dyDescent="0.25">
      <c r="C847">
        <v>846</v>
      </c>
      <c r="D847" t="str">
        <f t="shared" ca="1" si="27"/>
        <v>-1</v>
      </c>
      <c r="E847">
        <f ca="1">ROUND(NORMINV(RAND(),最终结果!$I$8,最终结果!$E$8),0)</f>
        <v>118</v>
      </c>
      <c r="F847">
        <f ca="1">ROUND(NORMINV(RAND(),最终结果!$I$12,最终结果!$E$12),0)</f>
        <v>121</v>
      </c>
      <c r="G847" t="str">
        <f t="shared" ca="1" si="28"/>
        <v>Home</v>
      </c>
      <c r="H847" t="str">
        <f ca="1">IF(E847+最终结果!$G$8&gt;simulation!F847,"W","L")</f>
        <v>L</v>
      </c>
      <c r="I847" t="str">
        <f ca="1">IF(F847+最终结果!$G$12&gt;simulation!E847,"W","L")</f>
        <v>L</v>
      </c>
      <c r="J847" t="str">
        <f ca="1">IF((E847+F847)&gt;最终结果!$H$8,"Over","Under")</f>
        <v>Over</v>
      </c>
    </row>
    <row r="848" spans="3:10" x14ac:dyDescent="0.25">
      <c r="C848">
        <v>847</v>
      </c>
      <c r="D848" t="str">
        <f t="shared" ca="1" si="27"/>
        <v>-1</v>
      </c>
      <c r="E848">
        <f ca="1">ROUND(NORMINV(RAND(),最终结果!$I$8,最终结果!$E$8),0)</f>
        <v>105</v>
      </c>
      <c r="F848">
        <f ca="1">ROUND(NORMINV(RAND(),最终结果!$I$12,最终结果!$E$12),0)</f>
        <v>127</v>
      </c>
      <c r="G848" t="str">
        <f t="shared" ca="1" si="28"/>
        <v>Home</v>
      </c>
      <c r="H848" t="str">
        <f ca="1">IF(E848+最终结果!$G$8&gt;simulation!F848,"W","L")</f>
        <v>L</v>
      </c>
      <c r="I848" t="str">
        <f ca="1">IF(F848+最终结果!$G$12&gt;simulation!E848,"W","L")</f>
        <v>W</v>
      </c>
      <c r="J848" t="str">
        <f ca="1">IF((E848+F848)&gt;最终结果!$H$8,"Over","Under")</f>
        <v>Under</v>
      </c>
    </row>
    <row r="849" spans="3:10" x14ac:dyDescent="0.25">
      <c r="C849">
        <v>848</v>
      </c>
      <c r="D849" t="str">
        <f t="shared" ca="1" si="27"/>
        <v>-1</v>
      </c>
      <c r="E849">
        <f ca="1">ROUND(NORMINV(RAND(),最终结果!$I$8,最终结果!$E$8),0)</f>
        <v>118</v>
      </c>
      <c r="F849">
        <f ca="1">ROUND(NORMINV(RAND(),最终结果!$I$12,最终结果!$E$12),0)</f>
        <v>125</v>
      </c>
      <c r="G849" t="str">
        <f t="shared" ca="1" si="28"/>
        <v>Home</v>
      </c>
      <c r="H849" t="str">
        <f ca="1">IF(E849+最终结果!$G$8&gt;simulation!F849,"W","L")</f>
        <v>L</v>
      </c>
      <c r="I849" t="str">
        <f ca="1">IF(F849+最终结果!$G$12&gt;simulation!E849,"W","L")</f>
        <v>W</v>
      </c>
      <c r="J849" t="str">
        <f ca="1">IF((E849+F849)&gt;最终结果!$H$8,"Over","Under")</f>
        <v>Over</v>
      </c>
    </row>
    <row r="850" spans="3:10" x14ac:dyDescent="0.25">
      <c r="C850">
        <v>849</v>
      </c>
      <c r="D850" t="str">
        <f t="shared" ca="1" si="27"/>
        <v>1</v>
      </c>
      <c r="E850">
        <f ca="1">ROUND(NORMINV(RAND(),最终结果!$I$8,最终结果!$E$8),0)</f>
        <v>131</v>
      </c>
      <c r="F850">
        <f ca="1">ROUND(NORMINV(RAND(),最终结果!$I$12,最终结果!$E$12),0)</f>
        <v>129</v>
      </c>
      <c r="G850" t="str">
        <f t="shared" ca="1" si="28"/>
        <v>Away</v>
      </c>
      <c r="H850" t="str">
        <f ca="1">IF(E850+最终结果!$G$8&gt;simulation!F850,"W","L")</f>
        <v>W</v>
      </c>
      <c r="I850" t="str">
        <f ca="1">IF(F850+最终结果!$G$12&gt;simulation!E850,"W","L")</f>
        <v>L</v>
      </c>
      <c r="J850" t="str">
        <f ca="1">IF((E850+F850)&gt;最终结果!$H$8,"Over","Under")</f>
        <v>Over</v>
      </c>
    </row>
    <row r="851" spans="3:10" x14ac:dyDescent="0.25">
      <c r="C851">
        <v>850</v>
      </c>
      <c r="D851" t="str">
        <f t="shared" ca="1" si="27"/>
        <v>-1</v>
      </c>
      <c r="E851">
        <f ca="1">ROUND(NORMINV(RAND(),最终结果!$I$8,最终结果!$E$8),0)</f>
        <v>94</v>
      </c>
      <c r="F851">
        <f ca="1">ROUND(NORMINV(RAND(),最终结果!$I$12,最终结果!$E$12),0)</f>
        <v>114</v>
      </c>
      <c r="G851" t="str">
        <f t="shared" ca="1" si="28"/>
        <v>Home</v>
      </c>
      <c r="H851" t="str">
        <f ca="1">IF(E851+最终结果!$G$8&gt;simulation!F851,"W","L")</f>
        <v>L</v>
      </c>
      <c r="I851" t="str">
        <f ca="1">IF(F851+最终结果!$G$12&gt;simulation!E851,"W","L")</f>
        <v>W</v>
      </c>
      <c r="J851" t="str">
        <f ca="1">IF((E851+F851)&gt;最终结果!$H$8,"Over","Under")</f>
        <v>Under</v>
      </c>
    </row>
    <row r="852" spans="3:10" x14ac:dyDescent="0.25">
      <c r="C852">
        <v>851</v>
      </c>
      <c r="D852" t="str">
        <f t="shared" ca="1" si="27"/>
        <v>-1</v>
      </c>
      <c r="E852">
        <f ca="1">ROUND(NORMINV(RAND(),最终结果!$I$8,最终结果!$E$8),0)</f>
        <v>106</v>
      </c>
      <c r="F852">
        <f ca="1">ROUND(NORMINV(RAND(),最终结果!$I$12,最终结果!$E$12),0)</f>
        <v>109</v>
      </c>
      <c r="G852" t="str">
        <f t="shared" ca="1" si="28"/>
        <v>Home</v>
      </c>
      <c r="H852" t="str">
        <f ca="1">IF(E852+最终结果!$G$8&gt;simulation!F852,"W","L")</f>
        <v>L</v>
      </c>
      <c r="I852" t="str">
        <f ca="1">IF(F852+最终结果!$G$12&gt;simulation!E852,"W","L")</f>
        <v>L</v>
      </c>
      <c r="J852" t="str">
        <f ca="1">IF((E852+F852)&gt;最终结果!$H$8,"Over","Under")</f>
        <v>Under</v>
      </c>
    </row>
    <row r="853" spans="3:10" x14ac:dyDescent="0.25">
      <c r="C853">
        <v>852</v>
      </c>
      <c r="D853" t="str">
        <f t="shared" ca="1" si="27"/>
        <v>-1</v>
      </c>
      <c r="E853">
        <f ca="1">ROUND(NORMINV(RAND(),最终结果!$I$8,最终结果!$E$8),0)</f>
        <v>108</v>
      </c>
      <c r="F853">
        <f ca="1">ROUND(NORMINV(RAND(),最终结果!$I$12,最终结果!$E$12),0)</f>
        <v>110</v>
      </c>
      <c r="G853" t="str">
        <f t="shared" ca="1" si="28"/>
        <v>Home</v>
      </c>
      <c r="H853" t="str">
        <f ca="1">IF(E853+最终结果!$G$8&gt;simulation!F853,"W","L")</f>
        <v>W</v>
      </c>
      <c r="I853" t="str">
        <f ca="1">IF(F853+最终结果!$G$12&gt;simulation!E853,"W","L")</f>
        <v>L</v>
      </c>
      <c r="J853" t="str">
        <f ca="1">IF((E853+F853)&gt;最终结果!$H$8,"Over","Under")</f>
        <v>Under</v>
      </c>
    </row>
    <row r="854" spans="3:10" x14ac:dyDescent="0.25">
      <c r="C854">
        <v>853</v>
      </c>
      <c r="D854" t="str">
        <f t="shared" ca="1" si="27"/>
        <v>-1</v>
      </c>
      <c r="E854">
        <f ca="1">ROUND(NORMINV(RAND(),最终结果!$I$8,最终结果!$E$8),0)</f>
        <v>95</v>
      </c>
      <c r="F854">
        <f ca="1">ROUND(NORMINV(RAND(),最终结果!$I$12,最终结果!$E$12),0)</f>
        <v>108</v>
      </c>
      <c r="G854" t="str">
        <f t="shared" ca="1" si="28"/>
        <v>Home</v>
      </c>
      <c r="H854" t="str">
        <f ca="1">IF(E854+最终结果!$G$8&gt;simulation!F854,"W","L")</f>
        <v>L</v>
      </c>
      <c r="I854" t="str">
        <f ca="1">IF(F854+最终结果!$G$12&gt;simulation!E854,"W","L")</f>
        <v>W</v>
      </c>
      <c r="J854" t="str">
        <f ca="1">IF((E854+F854)&gt;最终结果!$H$8,"Over","Under")</f>
        <v>Under</v>
      </c>
    </row>
    <row r="855" spans="3:10" x14ac:dyDescent="0.25">
      <c r="C855">
        <v>854</v>
      </c>
      <c r="D855" t="str">
        <f t="shared" ca="1" si="27"/>
        <v>1</v>
      </c>
      <c r="E855">
        <f ca="1">ROUND(NORMINV(RAND(),最终结果!$I$8,最终结果!$E$8),0)</f>
        <v>126</v>
      </c>
      <c r="F855">
        <f ca="1">ROUND(NORMINV(RAND(),最终结果!$I$12,最终结果!$E$12),0)</f>
        <v>106</v>
      </c>
      <c r="G855" t="str">
        <f t="shared" ca="1" si="28"/>
        <v>Away</v>
      </c>
      <c r="H855" t="str">
        <f ca="1">IF(E855+最终结果!$G$8&gt;simulation!F855,"W","L")</f>
        <v>W</v>
      </c>
      <c r="I855" t="str">
        <f ca="1">IF(F855+最终结果!$G$12&gt;simulation!E855,"W","L")</f>
        <v>L</v>
      </c>
      <c r="J855" t="str">
        <f ca="1">IF((E855+F855)&gt;最终结果!$H$8,"Over","Under")</f>
        <v>Under</v>
      </c>
    </row>
    <row r="856" spans="3:10" x14ac:dyDescent="0.25">
      <c r="C856">
        <v>855</v>
      </c>
      <c r="D856" t="str">
        <f t="shared" ca="1" si="27"/>
        <v>-1</v>
      </c>
      <c r="E856">
        <f ca="1">ROUND(NORMINV(RAND(),最终结果!$I$8,最终结果!$E$8),0)</f>
        <v>110</v>
      </c>
      <c r="F856">
        <f ca="1">ROUND(NORMINV(RAND(),最终结果!$I$12,最终结果!$E$12),0)</f>
        <v>118</v>
      </c>
      <c r="G856" t="str">
        <f t="shared" ca="1" si="28"/>
        <v>Home</v>
      </c>
      <c r="H856" t="str">
        <f ca="1">IF(E856+最终结果!$G$8&gt;simulation!F856,"W","L")</f>
        <v>L</v>
      </c>
      <c r="I856" t="str">
        <f ca="1">IF(F856+最终结果!$G$12&gt;simulation!E856,"W","L")</f>
        <v>W</v>
      </c>
      <c r="J856" t="str">
        <f ca="1">IF((E856+F856)&gt;最终结果!$H$8,"Over","Under")</f>
        <v>Under</v>
      </c>
    </row>
    <row r="857" spans="3:10" x14ac:dyDescent="0.25">
      <c r="C857">
        <v>856</v>
      </c>
      <c r="D857" t="str">
        <f t="shared" ca="1" si="27"/>
        <v>-1</v>
      </c>
      <c r="E857">
        <f ca="1">ROUND(NORMINV(RAND(),最终结果!$I$8,最终结果!$E$8),0)</f>
        <v>114</v>
      </c>
      <c r="F857">
        <f ca="1">ROUND(NORMINV(RAND(),最终结果!$I$12,最终结果!$E$12),0)</f>
        <v>137</v>
      </c>
      <c r="G857" t="str">
        <f t="shared" ca="1" si="28"/>
        <v>Home</v>
      </c>
      <c r="H857" t="str">
        <f ca="1">IF(E857+最终结果!$G$8&gt;simulation!F857,"W","L")</f>
        <v>L</v>
      </c>
      <c r="I857" t="str">
        <f ca="1">IF(F857+最终结果!$G$12&gt;simulation!E857,"W","L")</f>
        <v>W</v>
      </c>
      <c r="J857" t="str">
        <f ca="1">IF((E857+F857)&gt;最终结果!$H$8,"Over","Under")</f>
        <v>Over</v>
      </c>
    </row>
    <row r="858" spans="3:10" x14ac:dyDescent="0.25">
      <c r="C858">
        <v>857</v>
      </c>
      <c r="D858" t="str">
        <f t="shared" ca="1" si="27"/>
        <v>1</v>
      </c>
      <c r="E858">
        <f ca="1">ROUND(NORMINV(RAND(),最终结果!$I$8,最终结果!$E$8),0)</f>
        <v>125</v>
      </c>
      <c r="F858">
        <f ca="1">ROUND(NORMINV(RAND(),最终结果!$I$12,最终结果!$E$12),0)</f>
        <v>120</v>
      </c>
      <c r="G858" t="str">
        <f t="shared" ca="1" si="28"/>
        <v>Away</v>
      </c>
      <c r="H858" t="str">
        <f ca="1">IF(E858+最终结果!$G$8&gt;simulation!F858,"W","L")</f>
        <v>W</v>
      </c>
      <c r="I858" t="str">
        <f ca="1">IF(F858+最终结果!$G$12&gt;simulation!E858,"W","L")</f>
        <v>L</v>
      </c>
      <c r="J858" t="str">
        <f ca="1">IF((E858+F858)&gt;最终结果!$H$8,"Over","Under")</f>
        <v>Over</v>
      </c>
    </row>
    <row r="859" spans="3:10" x14ac:dyDescent="0.25">
      <c r="C859">
        <v>858</v>
      </c>
      <c r="D859" t="str">
        <f t="shared" ca="1" si="27"/>
        <v>1</v>
      </c>
      <c r="E859">
        <f ca="1">ROUND(NORMINV(RAND(),最终结果!$I$8,最终结果!$E$8),0)</f>
        <v>114</v>
      </c>
      <c r="F859">
        <f ca="1">ROUND(NORMINV(RAND(),最终结果!$I$12,最终结果!$E$12),0)</f>
        <v>110</v>
      </c>
      <c r="G859" t="str">
        <f t="shared" ca="1" si="28"/>
        <v>Away</v>
      </c>
      <c r="H859" t="str">
        <f ca="1">IF(E859+最终结果!$G$8&gt;simulation!F859,"W","L")</f>
        <v>W</v>
      </c>
      <c r="I859" t="str">
        <f ca="1">IF(F859+最终结果!$G$12&gt;simulation!E859,"W","L")</f>
        <v>L</v>
      </c>
      <c r="J859" t="str">
        <f ca="1">IF((E859+F859)&gt;最终结果!$H$8,"Over","Under")</f>
        <v>Under</v>
      </c>
    </row>
    <row r="860" spans="3:10" x14ac:dyDescent="0.25">
      <c r="C860">
        <v>859</v>
      </c>
      <c r="D860" t="str">
        <f t="shared" ca="1" si="27"/>
        <v>-1</v>
      </c>
      <c r="E860">
        <f ca="1">ROUND(NORMINV(RAND(),最终结果!$I$8,最终结果!$E$8),0)</f>
        <v>103</v>
      </c>
      <c r="F860">
        <f ca="1">ROUND(NORMINV(RAND(),最终结果!$I$12,最终结果!$E$12),0)</f>
        <v>113</v>
      </c>
      <c r="G860" t="str">
        <f t="shared" ca="1" si="28"/>
        <v>Home</v>
      </c>
      <c r="H860" t="str">
        <f ca="1">IF(E860+最终结果!$G$8&gt;simulation!F860,"W","L")</f>
        <v>L</v>
      </c>
      <c r="I860" t="str">
        <f ca="1">IF(F860+最终结果!$G$12&gt;simulation!E860,"W","L")</f>
        <v>W</v>
      </c>
      <c r="J860" t="str">
        <f ca="1">IF((E860+F860)&gt;最终结果!$H$8,"Over","Under")</f>
        <v>Under</v>
      </c>
    </row>
    <row r="861" spans="3:10" x14ac:dyDescent="0.25">
      <c r="C861">
        <v>860</v>
      </c>
      <c r="D861" t="str">
        <f t="shared" ca="1" si="27"/>
        <v>1</v>
      </c>
      <c r="E861">
        <f ca="1">ROUND(NORMINV(RAND(),最终结果!$I$8,最终结果!$E$8),0)</f>
        <v>123</v>
      </c>
      <c r="F861">
        <f ca="1">ROUND(NORMINV(RAND(),最终结果!$I$12,最终结果!$E$12),0)</f>
        <v>111</v>
      </c>
      <c r="G861" t="str">
        <f t="shared" ca="1" si="28"/>
        <v>Away</v>
      </c>
      <c r="H861" t="str">
        <f ca="1">IF(E861+最终结果!$G$8&gt;simulation!F861,"W","L")</f>
        <v>W</v>
      </c>
      <c r="I861" t="str">
        <f ca="1">IF(F861+最终结果!$G$12&gt;simulation!E861,"W","L")</f>
        <v>L</v>
      </c>
      <c r="J861" t="str">
        <f ca="1">IF((E861+F861)&gt;最终结果!$H$8,"Over","Under")</f>
        <v>Under</v>
      </c>
    </row>
    <row r="862" spans="3:10" x14ac:dyDescent="0.25">
      <c r="C862">
        <v>861</v>
      </c>
      <c r="D862" t="str">
        <f t="shared" ca="1" si="27"/>
        <v>-1</v>
      </c>
      <c r="E862">
        <f ca="1">ROUND(NORMINV(RAND(),最终结果!$I$8,最终结果!$E$8),0)</f>
        <v>104</v>
      </c>
      <c r="F862">
        <f ca="1">ROUND(NORMINV(RAND(),最终结果!$I$12,最终结果!$E$12),0)</f>
        <v>109</v>
      </c>
      <c r="G862" t="str">
        <f t="shared" ca="1" si="28"/>
        <v>Home</v>
      </c>
      <c r="H862" t="str">
        <f ca="1">IF(E862+最终结果!$G$8&gt;simulation!F862,"W","L")</f>
        <v>L</v>
      </c>
      <c r="I862" t="str">
        <f ca="1">IF(F862+最终结果!$G$12&gt;simulation!E862,"W","L")</f>
        <v>W</v>
      </c>
      <c r="J862" t="str">
        <f ca="1">IF((E862+F862)&gt;最终结果!$H$8,"Over","Under")</f>
        <v>Under</v>
      </c>
    </row>
    <row r="863" spans="3:10" x14ac:dyDescent="0.25">
      <c r="C863">
        <v>862</v>
      </c>
      <c r="D863" t="str">
        <f t="shared" ca="1" si="27"/>
        <v>-1</v>
      </c>
      <c r="E863">
        <f ca="1">ROUND(NORMINV(RAND(),最终结果!$I$8,最终结果!$E$8),0)</f>
        <v>104</v>
      </c>
      <c r="F863">
        <f ca="1">ROUND(NORMINV(RAND(),最终结果!$I$12,最终结果!$E$12),0)</f>
        <v>118</v>
      </c>
      <c r="G863" t="str">
        <f t="shared" ca="1" si="28"/>
        <v>Home</v>
      </c>
      <c r="H863" t="str">
        <f ca="1">IF(E863+最终结果!$G$8&gt;simulation!F863,"W","L")</f>
        <v>L</v>
      </c>
      <c r="I863" t="str">
        <f ca="1">IF(F863+最终结果!$G$12&gt;simulation!E863,"W","L")</f>
        <v>W</v>
      </c>
      <c r="J863" t="str">
        <f ca="1">IF((E863+F863)&gt;最终结果!$H$8,"Over","Under")</f>
        <v>Under</v>
      </c>
    </row>
    <row r="864" spans="3:10" x14ac:dyDescent="0.25">
      <c r="C864">
        <v>863</v>
      </c>
      <c r="D864" t="str">
        <f t="shared" ca="1" si="27"/>
        <v>-1</v>
      </c>
      <c r="E864">
        <f ca="1">ROUND(NORMINV(RAND(),最终结果!$I$8,最终结果!$E$8),0)</f>
        <v>124</v>
      </c>
      <c r="F864">
        <f ca="1">ROUND(NORMINV(RAND(),最终结果!$I$12,最终结果!$E$12),0)</f>
        <v>131</v>
      </c>
      <c r="G864" t="str">
        <f t="shared" ca="1" si="28"/>
        <v>Home</v>
      </c>
      <c r="H864" t="str">
        <f ca="1">IF(E864+最终结果!$G$8&gt;simulation!F864,"W","L")</f>
        <v>L</v>
      </c>
      <c r="I864" t="str">
        <f ca="1">IF(F864+最终结果!$G$12&gt;simulation!E864,"W","L")</f>
        <v>W</v>
      </c>
      <c r="J864" t="str">
        <f ca="1">IF((E864+F864)&gt;最终结果!$H$8,"Over","Under")</f>
        <v>Over</v>
      </c>
    </row>
    <row r="865" spans="3:10" x14ac:dyDescent="0.25">
      <c r="C865">
        <v>864</v>
      </c>
      <c r="D865" t="str">
        <f t="shared" ca="1" si="27"/>
        <v>-1</v>
      </c>
      <c r="E865">
        <f ca="1">ROUND(NORMINV(RAND(),最终结果!$I$8,最终结果!$E$8),0)</f>
        <v>97</v>
      </c>
      <c r="F865">
        <f ca="1">ROUND(NORMINV(RAND(),最终结果!$I$12,最终结果!$E$12),0)</f>
        <v>129</v>
      </c>
      <c r="G865" t="str">
        <f t="shared" ca="1" si="28"/>
        <v>Home</v>
      </c>
      <c r="H865" t="str">
        <f ca="1">IF(E865+最终结果!$G$8&gt;simulation!F865,"W","L")</f>
        <v>L</v>
      </c>
      <c r="I865" t="str">
        <f ca="1">IF(F865+最终结果!$G$12&gt;simulation!E865,"W","L")</f>
        <v>W</v>
      </c>
      <c r="J865" t="str">
        <f ca="1">IF((E865+F865)&gt;最终结果!$H$8,"Over","Under")</f>
        <v>Under</v>
      </c>
    </row>
    <row r="866" spans="3:10" x14ac:dyDescent="0.25">
      <c r="C866">
        <v>865</v>
      </c>
      <c r="D866" t="str">
        <f t="shared" ca="1" si="27"/>
        <v>-1</v>
      </c>
      <c r="E866">
        <f ca="1">ROUND(NORMINV(RAND(),最终结果!$I$8,最终结果!$E$8),0)</f>
        <v>110</v>
      </c>
      <c r="F866">
        <f ca="1">ROUND(NORMINV(RAND(),最终结果!$I$12,最终结果!$E$12),0)</f>
        <v>123</v>
      </c>
      <c r="G866" t="str">
        <f t="shared" ca="1" si="28"/>
        <v>Home</v>
      </c>
      <c r="H866" t="str">
        <f ca="1">IF(E866+最终结果!$G$8&gt;simulation!F866,"W","L")</f>
        <v>L</v>
      </c>
      <c r="I866" t="str">
        <f ca="1">IF(F866+最终结果!$G$12&gt;simulation!E866,"W","L")</f>
        <v>W</v>
      </c>
      <c r="J866" t="str">
        <f ca="1">IF((E866+F866)&gt;最终结果!$H$8,"Over","Under")</f>
        <v>Under</v>
      </c>
    </row>
    <row r="867" spans="3:10" x14ac:dyDescent="0.25">
      <c r="C867">
        <v>866</v>
      </c>
      <c r="D867" t="str">
        <f t="shared" ca="1" si="27"/>
        <v>1</v>
      </c>
      <c r="E867">
        <f ca="1">ROUND(NORMINV(RAND(),最终结果!$I$8,最终结果!$E$8),0)</f>
        <v>106</v>
      </c>
      <c r="F867">
        <f ca="1">ROUND(NORMINV(RAND(),最终结果!$I$12,最终结果!$E$12),0)</f>
        <v>99</v>
      </c>
      <c r="G867" t="str">
        <f t="shared" ca="1" si="28"/>
        <v>Away</v>
      </c>
      <c r="H867" t="str">
        <f ca="1">IF(E867+最终结果!$G$8&gt;simulation!F867,"W","L")</f>
        <v>W</v>
      </c>
      <c r="I867" t="str">
        <f ca="1">IF(F867+最终结果!$G$12&gt;simulation!E867,"W","L")</f>
        <v>L</v>
      </c>
      <c r="J867" t="str">
        <f ca="1">IF((E867+F867)&gt;最终结果!$H$8,"Over","Under")</f>
        <v>Under</v>
      </c>
    </row>
    <row r="868" spans="3:10" x14ac:dyDescent="0.25">
      <c r="C868">
        <v>867</v>
      </c>
      <c r="D868" t="str">
        <f t="shared" ca="1" si="27"/>
        <v>-1</v>
      </c>
      <c r="E868">
        <f ca="1">ROUND(NORMINV(RAND(),最终结果!$I$8,最终结果!$E$8),0)</f>
        <v>108</v>
      </c>
      <c r="F868">
        <f ca="1">ROUND(NORMINV(RAND(),最终结果!$I$12,最终结果!$E$12),0)</f>
        <v>119</v>
      </c>
      <c r="G868" t="str">
        <f t="shared" ca="1" si="28"/>
        <v>Home</v>
      </c>
      <c r="H868" t="str">
        <f ca="1">IF(E868+最终结果!$G$8&gt;simulation!F868,"W","L")</f>
        <v>L</v>
      </c>
      <c r="I868" t="str">
        <f ca="1">IF(F868+最终结果!$G$12&gt;simulation!E868,"W","L")</f>
        <v>W</v>
      </c>
      <c r="J868" t="str">
        <f ca="1">IF((E868+F868)&gt;最终结果!$H$8,"Over","Under")</f>
        <v>Under</v>
      </c>
    </row>
    <row r="869" spans="3:10" x14ac:dyDescent="0.25">
      <c r="C869">
        <v>868</v>
      </c>
      <c r="D869" t="str">
        <f t="shared" ca="1" si="27"/>
        <v>1</v>
      </c>
      <c r="E869">
        <f ca="1">ROUND(NORMINV(RAND(),最终结果!$I$8,最终结果!$E$8),0)</f>
        <v>133</v>
      </c>
      <c r="F869">
        <f ca="1">ROUND(NORMINV(RAND(),最终结果!$I$12,最终结果!$E$12),0)</f>
        <v>111</v>
      </c>
      <c r="G869" t="str">
        <f t="shared" ca="1" si="28"/>
        <v>Away</v>
      </c>
      <c r="H869" t="str">
        <f ca="1">IF(E869+最终结果!$G$8&gt;simulation!F869,"W","L")</f>
        <v>W</v>
      </c>
      <c r="I869" t="str">
        <f ca="1">IF(F869+最终结果!$G$12&gt;simulation!E869,"W","L")</f>
        <v>L</v>
      </c>
      <c r="J869" t="str">
        <f ca="1">IF((E869+F869)&gt;最终结果!$H$8,"Over","Under")</f>
        <v>Over</v>
      </c>
    </row>
    <row r="870" spans="3:10" x14ac:dyDescent="0.25">
      <c r="C870">
        <v>869</v>
      </c>
      <c r="D870" t="str">
        <f t="shared" ca="1" si="27"/>
        <v>-1</v>
      </c>
      <c r="E870">
        <f ca="1">ROUND(NORMINV(RAND(),最终结果!$I$8,最终结果!$E$8),0)</f>
        <v>121</v>
      </c>
      <c r="F870">
        <f ca="1">ROUND(NORMINV(RAND(),最终结果!$I$12,最终结果!$E$12),0)</f>
        <v>139</v>
      </c>
      <c r="G870" t="str">
        <f t="shared" ca="1" si="28"/>
        <v>Home</v>
      </c>
      <c r="H870" t="str">
        <f ca="1">IF(E870+最终结果!$G$8&gt;simulation!F870,"W","L")</f>
        <v>L</v>
      </c>
      <c r="I870" t="str">
        <f ca="1">IF(F870+最终结果!$G$12&gt;simulation!E870,"W","L")</f>
        <v>W</v>
      </c>
      <c r="J870" t="str">
        <f ca="1">IF((E870+F870)&gt;最终结果!$H$8,"Over","Under")</f>
        <v>Over</v>
      </c>
    </row>
    <row r="871" spans="3:10" x14ac:dyDescent="0.25">
      <c r="C871">
        <v>870</v>
      </c>
      <c r="D871" t="str">
        <f t="shared" ca="1" si="27"/>
        <v>-1</v>
      </c>
      <c r="E871">
        <f ca="1">ROUND(NORMINV(RAND(),最终结果!$I$8,最终结果!$E$8),0)</f>
        <v>131</v>
      </c>
      <c r="F871">
        <f ca="1">ROUND(NORMINV(RAND(),最终结果!$I$12,最终结果!$E$12),0)</f>
        <v>137</v>
      </c>
      <c r="G871" t="str">
        <f t="shared" ca="1" si="28"/>
        <v>Home</v>
      </c>
      <c r="H871" t="str">
        <f ca="1">IF(E871+最终结果!$G$8&gt;simulation!F871,"W","L")</f>
        <v>L</v>
      </c>
      <c r="I871" t="str">
        <f ca="1">IF(F871+最终结果!$G$12&gt;simulation!E871,"W","L")</f>
        <v>W</v>
      </c>
      <c r="J871" t="str">
        <f ca="1">IF((E871+F871)&gt;最终结果!$H$8,"Over","Under")</f>
        <v>Over</v>
      </c>
    </row>
    <row r="872" spans="3:10" x14ac:dyDescent="0.25">
      <c r="C872">
        <v>871</v>
      </c>
      <c r="D872" t="str">
        <f t="shared" ca="1" si="27"/>
        <v>-1</v>
      </c>
      <c r="E872">
        <f ca="1">ROUND(NORMINV(RAND(),最终结果!$I$8,最终结果!$E$8),0)</f>
        <v>117</v>
      </c>
      <c r="F872">
        <f ca="1">ROUND(NORMINV(RAND(),最终结果!$I$12,最终结果!$E$12),0)</f>
        <v>127</v>
      </c>
      <c r="G872" t="str">
        <f t="shared" ca="1" si="28"/>
        <v>Home</v>
      </c>
      <c r="H872" t="str">
        <f ca="1">IF(E872+最终结果!$G$8&gt;simulation!F872,"W","L")</f>
        <v>L</v>
      </c>
      <c r="I872" t="str">
        <f ca="1">IF(F872+最终结果!$G$12&gt;simulation!E872,"W","L")</f>
        <v>W</v>
      </c>
      <c r="J872" t="str">
        <f ca="1">IF((E872+F872)&gt;最终结果!$H$8,"Over","Under")</f>
        <v>Over</v>
      </c>
    </row>
    <row r="873" spans="3:10" x14ac:dyDescent="0.25">
      <c r="C873">
        <v>872</v>
      </c>
      <c r="D873" t="str">
        <f t="shared" ca="1" si="27"/>
        <v>1</v>
      </c>
      <c r="E873">
        <f ca="1">ROUND(NORMINV(RAND(),最终结果!$I$8,最终结果!$E$8),0)</f>
        <v>102</v>
      </c>
      <c r="F873">
        <f ca="1">ROUND(NORMINV(RAND(),最终结果!$I$12,最终结果!$E$12),0)</f>
        <v>100</v>
      </c>
      <c r="G873" t="str">
        <f t="shared" ca="1" si="28"/>
        <v>Away</v>
      </c>
      <c r="H873" t="str">
        <f ca="1">IF(E873+最终结果!$G$8&gt;simulation!F873,"W","L")</f>
        <v>W</v>
      </c>
      <c r="I873" t="str">
        <f ca="1">IF(F873+最终结果!$G$12&gt;simulation!E873,"W","L")</f>
        <v>L</v>
      </c>
      <c r="J873" t="str">
        <f ca="1">IF((E873+F873)&gt;最终结果!$H$8,"Over","Under")</f>
        <v>Under</v>
      </c>
    </row>
    <row r="874" spans="3:10" x14ac:dyDescent="0.25">
      <c r="C874">
        <v>873</v>
      </c>
      <c r="D874" t="str">
        <f t="shared" ca="1" si="27"/>
        <v>-1</v>
      </c>
      <c r="E874">
        <f ca="1">ROUND(NORMINV(RAND(),最终结果!$I$8,最终结果!$E$8),0)</f>
        <v>107</v>
      </c>
      <c r="F874">
        <f ca="1">ROUND(NORMINV(RAND(),最终结果!$I$12,最终结果!$E$12),0)</f>
        <v>113</v>
      </c>
      <c r="G874" t="str">
        <f t="shared" ca="1" si="28"/>
        <v>Home</v>
      </c>
      <c r="H874" t="str">
        <f ca="1">IF(E874+最终结果!$G$8&gt;simulation!F874,"W","L")</f>
        <v>L</v>
      </c>
      <c r="I874" t="str">
        <f ca="1">IF(F874+最终结果!$G$12&gt;simulation!E874,"W","L")</f>
        <v>W</v>
      </c>
      <c r="J874" t="str">
        <f ca="1">IF((E874+F874)&gt;最终结果!$H$8,"Over","Under")</f>
        <v>Under</v>
      </c>
    </row>
    <row r="875" spans="3:10" x14ac:dyDescent="0.25">
      <c r="C875">
        <v>874</v>
      </c>
      <c r="D875" t="str">
        <f t="shared" ca="1" si="27"/>
        <v>-1</v>
      </c>
      <c r="E875">
        <f ca="1">ROUND(NORMINV(RAND(),最终结果!$I$8,最终结果!$E$8),0)</f>
        <v>99</v>
      </c>
      <c r="F875">
        <f ca="1">ROUND(NORMINV(RAND(),最终结果!$I$12,最终结果!$E$12),0)</f>
        <v>120</v>
      </c>
      <c r="G875" t="str">
        <f t="shared" ca="1" si="28"/>
        <v>Home</v>
      </c>
      <c r="H875" t="str">
        <f ca="1">IF(E875+最终结果!$G$8&gt;simulation!F875,"W","L")</f>
        <v>L</v>
      </c>
      <c r="I875" t="str">
        <f ca="1">IF(F875+最终结果!$G$12&gt;simulation!E875,"W","L")</f>
        <v>W</v>
      </c>
      <c r="J875" t="str">
        <f ca="1">IF((E875+F875)&gt;最终结果!$H$8,"Over","Under")</f>
        <v>Under</v>
      </c>
    </row>
    <row r="876" spans="3:10" x14ac:dyDescent="0.25">
      <c r="C876">
        <v>875</v>
      </c>
      <c r="D876" t="str">
        <f t="shared" ca="1" si="27"/>
        <v>-1</v>
      </c>
      <c r="E876">
        <f ca="1">ROUND(NORMINV(RAND(),最终结果!$I$8,最终结果!$E$8),0)</f>
        <v>144</v>
      </c>
      <c r="F876">
        <f ca="1">ROUND(NORMINV(RAND(),最终结果!$I$12,最终结果!$E$12),0)</f>
        <v>159</v>
      </c>
      <c r="G876" t="str">
        <f t="shared" ca="1" si="28"/>
        <v>Home</v>
      </c>
      <c r="H876" t="str">
        <f ca="1">IF(E876+最终结果!$G$8&gt;simulation!F876,"W","L")</f>
        <v>L</v>
      </c>
      <c r="I876" t="str">
        <f ca="1">IF(F876+最终结果!$G$12&gt;simulation!E876,"W","L")</f>
        <v>W</v>
      </c>
      <c r="J876" t="str">
        <f ca="1">IF((E876+F876)&gt;最终结果!$H$8,"Over","Under")</f>
        <v>Over</v>
      </c>
    </row>
    <row r="877" spans="3:10" x14ac:dyDescent="0.25">
      <c r="C877">
        <v>876</v>
      </c>
      <c r="D877" t="str">
        <f t="shared" ca="1" si="27"/>
        <v>-1</v>
      </c>
      <c r="E877">
        <f ca="1">ROUND(NORMINV(RAND(),最终结果!$I$8,最终结果!$E$8),0)</f>
        <v>125</v>
      </c>
      <c r="F877">
        <f ca="1">ROUND(NORMINV(RAND(),最终结果!$I$12,最终结果!$E$12),0)</f>
        <v>130</v>
      </c>
      <c r="G877" t="str">
        <f t="shared" ca="1" si="28"/>
        <v>Home</v>
      </c>
      <c r="H877" t="str">
        <f ca="1">IF(E877+最终结果!$G$8&gt;simulation!F877,"W","L")</f>
        <v>L</v>
      </c>
      <c r="I877" t="str">
        <f ca="1">IF(F877+最终结果!$G$12&gt;simulation!E877,"W","L")</f>
        <v>W</v>
      </c>
      <c r="J877" t="str">
        <f ca="1">IF((E877+F877)&gt;最终结果!$H$8,"Over","Under")</f>
        <v>Over</v>
      </c>
    </row>
    <row r="878" spans="3:10" x14ac:dyDescent="0.25">
      <c r="C878">
        <v>877</v>
      </c>
      <c r="D878" t="str">
        <f t="shared" ca="1" si="27"/>
        <v>1</v>
      </c>
      <c r="E878">
        <f ca="1">ROUND(NORMINV(RAND(),最终结果!$I$8,最终结果!$E$8),0)</f>
        <v>118</v>
      </c>
      <c r="F878">
        <f ca="1">ROUND(NORMINV(RAND(),最终结果!$I$12,最终结果!$E$12),0)</f>
        <v>103</v>
      </c>
      <c r="G878" t="str">
        <f t="shared" ca="1" si="28"/>
        <v>Away</v>
      </c>
      <c r="H878" t="str">
        <f ca="1">IF(E878+最终结果!$G$8&gt;simulation!F878,"W","L")</f>
        <v>W</v>
      </c>
      <c r="I878" t="str">
        <f ca="1">IF(F878+最终结果!$G$12&gt;simulation!E878,"W","L")</f>
        <v>L</v>
      </c>
      <c r="J878" t="str">
        <f ca="1">IF((E878+F878)&gt;最终结果!$H$8,"Over","Under")</f>
        <v>Under</v>
      </c>
    </row>
    <row r="879" spans="3:10" x14ac:dyDescent="0.25">
      <c r="C879">
        <v>878</v>
      </c>
      <c r="D879" t="str">
        <f t="shared" ca="1" si="27"/>
        <v>-1</v>
      </c>
      <c r="E879">
        <f ca="1">ROUND(NORMINV(RAND(),最终结果!$I$8,最终结果!$E$8),0)</f>
        <v>107</v>
      </c>
      <c r="F879">
        <f ca="1">ROUND(NORMINV(RAND(),最终结果!$I$12,最终结果!$E$12),0)</f>
        <v>122</v>
      </c>
      <c r="G879" t="str">
        <f t="shared" ca="1" si="28"/>
        <v>Home</v>
      </c>
      <c r="H879" t="str">
        <f ca="1">IF(E879+最终结果!$G$8&gt;simulation!F879,"W","L")</f>
        <v>L</v>
      </c>
      <c r="I879" t="str">
        <f ca="1">IF(F879+最终结果!$G$12&gt;simulation!E879,"W","L")</f>
        <v>W</v>
      </c>
      <c r="J879" t="str">
        <f ca="1">IF((E879+F879)&gt;最终结果!$H$8,"Over","Under")</f>
        <v>Under</v>
      </c>
    </row>
    <row r="880" spans="3:10" x14ac:dyDescent="0.25">
      <c r="C880">
        <v>879</v>
      </c>
      <c r="D880" t="str">
        <f t="shared" ca="1" si="27"/>
        <v>-1</v>
      </c>
      <c r="E880">
        <f ca="1">ROUND(NORMINV(RAND(),最终结果!$I$8,最终结果!$E$8),0)</f>
        <v>111</v>
      </c>
      <c r="F880">
        <f ca="1">ROUND(NORMINV(RAND(),最终结果!$I$12,最终结果!$E$12),0)</f>
        <v>123</v>
      </c>
      <c r="G880" t="str">
        <f t="shared" ca="1" si="28"/>
        <v>Home</v>
      </c>
      <c r="H880" t="str">
        <f ca="1">IF(E880+最终结果!$G$8&gt;simulation!F880,"W","L")</f>
        <v>L</v>
      </c>
      <c r="I880" t="str">
        <f ca="1">IF(F880+最终结果!$G$12&gt;simulation!E880,"W","L")</f>
        <v>W</v>
      </c>
      <c r="J880" t="str">
        <f ca="1">IF((E880+F880)&gt;最终结果!$H$8,"Over","Under")</f>
        <v>Under</v>
      </c>
    </row>
    <row r="881" spans="3:10" x14ac:dyDescent="0.25">
      <c r="C881">
        <v>880</v>
      </c>
      <c r="D881" t="str">
        <f t="shared" ca="1" si="27"/>
        <v>-1</v>
      </c>
      <c r="E881">
        <f ca="1">ROUND(NORMINV(RAND(),最终结果!$I$8,最终结果!$E$8),0)</f>
        <v>93</v>
      </c>
      <c r="F881">
        <f ca="1">ROUND(NORMINV(RAND(),最终结果!$I$12,最终结果!$E$12),0)</f>
        <v>119</v>
      </c>
      <c r="G881" t="str">
        <f t="shared" ca="1" si="28"/>
        <v>Home</v>
      </c>
      <c r="H881" t="str">
        <f ca="1">IF(E881+最终结果!$G$8&gt;simulation!F881,"W","L")</f>
        <v>L</v>
      </c>
      <c r="I881" t="str">
        <f ca="1">IF(F881+最终结果!$G$12&gt;simulation!E881,"W","L")</f>
        <v>W</v>
      </c>
      <c r="J881" t="str">
        <f ca="1">IF((E881+F881)&gt;最终结果!$H$8,"Over","Under")</f>
        <v>Under</v>
      </c>
    </row>
    <row r="882" spans="3:10" x14ac:dyDescent="0.25">
      <c r="C882">
        <v>881</v>
      </c>
      <c r="D882" t="str">
        <f t="shared" ca="1" si="27"/>
        <v>-1</v>
      </c>
      <c r="E882">
        <f ca="1">ROUND(NORMINV(RAND(),最终结果!$I$8,最终结果!$E$8),0)</f>
        <v>114</v>
      </c>
      <c r="F882">
        <f ca="1">ROUND(NORMINV(RAND(),最终结果!$I$12,最终结果!$E$12),0)</f>
        <v>136</v>
      </c>
      <c r="G882" t="str">
        <f t="shared" ca="1" si="28"/>
        <v>Home</v>
      </c>
      <c r="H882" t="str">
        <f ca="1">IF(E882+最终结果!$G$8&gt;simulation!F882,"W","L")</f>
        <v>L</v>
      </c>
      <c r="I882" t="str">
        <f ca="1">IF(F882+最终结果!$G$12&gt;simulation!E882,"W","L")</f>
        <v>W</v>
      </c>
      <c r="J882" t="str">
        <f ca="1">IF((E882+F882)&gt;最终结果!$H$8,"Over","Under")</f>
        <v>Over</v>
      </c>
    </row>
    <row r="883" spans="3:10" x14ac:dyDescent="0.25">
      <c r="C883">
        <v>882</v>
      </c>
      <c r="D883" t="str">
        <f t="shared" ca="1" si="27"/>
        <v>1</v>
      </c>
      <c r="E883">
        <f ca="1">ROUND(NORMINV(RAND(),最终结果!$I$8,最终结果!$E$8),0)</f>
        <v>116</v>
      </c>
      <c r="F883">
        <f ca="1">ROUND(NORMINV(RAND(),最终结果!$I$12,最终结果!$E$12),0)</f>
        <v>111</v>
      </c>
      <c r="G883" t="str">
        <f t="shared" ca="1" si="28"/>
        <v>Away</v>
      </c>
      <c r="H883" t="str">
        <f ca="1">IF(E883+最终结果!$G$8&gt;simulation!F883,"W","L")</f>
        <v>W</v>
      </c>
      <c r="I883" t="str">
        <f ca="1">IF(F883+最终结果!$G$12&gt;simulation!E883,"W","L")</f>
        <v>L</v>
      </c>
      <c r="J883" t="str">
        <f ca="1">IF((E883+F883)&gt;最终结果!$H$8,"Over","Under")</f>
        <v>Under</v>
      </c>
    </row>
    <row r="884" spans="3:10" x14ac:dyDescent="0.25">
      <c r="C884">
        <v>883</v>
      </c>
      <c r="D884" t="str">
        <f t="shared" ca="1" si="27"/>
        <v>1</v>
      </c>
      <c r="E884">
        <f ca="1">ROUND(NORMINV(RAND(),最终结果!$I$8,最终结果!$E$8),0)</f>
        <v>119</v>
      </c>
      <c r="F884">
        <f ca="1">ROUND(NORMINV(RAND(),最终结果!$I$12,最终结果!$E$12),0)</f>
        <v>114</v>
      </c>
      <c r="G884" t="str">
        <f t="shared" ca="1" si="28"/>
        <v>Away</v>
      </c>
      <c r="H884" t="str">
        <f ca="1">IF(E884+最终结果!$G$8&gt;simulation!F884,"W","L")</f>
        <v>W</v>
      </c>
      <c r="I884" t="str">
        <f ca="1">IF(F884+最终结果!$G$12&gt;simulation!E884,"W","L")</f>
        <v>L</v>
      </c>
      <c r="J884" t="str">
        <f ca="1">IF((E884+F884)&gt;最终结果!$H$8,"Over","Under")</f>
        <v>Under</v>
      </c>
    </row>
    <row r="885" spans="3:10" x14ac:dyDescent="0.25">
      <c r="C885">
        <v>884</v>
      </c>
      <c r="D885" t="str">
        <f t="shared" ca="1" si="27"/>
        <v>1</v>
      </c>
      <c r="E885">
        <f ca="1">ROUND(NORMINV(RAND(),最终结果!$I$8,最终结果!$E$8),0)</f>
        <v>128</v>
      </c>
      <c r="F885">
        <f ca="1">ROUND(NORMINV(RAND(),最终结果!$I$12,最终结果!$E$12),0)</f>
        <v>84</v>
      </c>
      <c r="G885" t="str">
        <f t="shared" ca="1" si="28"/>
        <v>Away</v>
      </c>
      <c r="H885" t="str">
        <f ca="1">IF(E885+最终结果!$G$8&gt;simulation!F885,"W","L")</f>
        <v>W</v>
      </c>
      <c r="I885" t="str">
        <f ca="1">IF(F885+最终结果!$G$12&gt;simulation!E885,"W","L")</f>
        <v>L</v>
      </c>
      <c r="J885" t="str">
        <f ca="1">IF((E885+F885)&gt;最终结果!$H$8,"Over","Under")</f>
        <v>Under</v>
      </c>
    </row>
    <row r="886" spans="3:10" x14ac:dyDescent="0.25">
      <c r="C886">
        <v>885</v>
      </c>
      <c r="D886" t="str">
        <f t="shared" ca="1" si="27"/>
        <v>-1</v>
      </c>
      <c r="E886">
        <f ca="1">ROUND(NORMINV(RAND(),最终结果!$I$8,最终结果!$E$8),0)</f>
        <v>103</v>
      </c>
      <c r="F886">
        <f ca="1">ROUND(NORMINV(RAND(),最终结果!$I$12,最终结果!$E$12),0)</f>
        <v>113</v>
      </c>
      <c r="G886" t="str">
        <f t="shared" ca="1" si="28"/>
        <v>Home</v>
      </c>
      <c r="H886" t="str">
        <f ca="1">IF(E886+最终结果!$G$8&gt;simulation!F886,"W","L")</f>
        <v>L</v>
      </c>
      <c r="I886" t="str">
        <f ca="1">IF(F886+最终结果!$G$12&gt;simulation!E886,"W","L")</f>
        <v>W</v>
      </c>
      <c r="J886" t="str">
        <f ca="1">IF((E886+F886)&gt;最终结果!$H$8,"Over","Under")</f>
        <v>Under</v>
      </c>
    </row>
    <row r="887" spans="3:10" x14ac:dyDescent="0.25">
      <c r="C887">
        <v>886</v>
      </c>
      <c r="D887" t="str">
        <f t="shared" ca="1" si="27"/>
        <v>-1</v>
      </c>
      <c r="E887">
        <f ca="1">ROUND(NORMINV(RAND(),最终结果!$I$8,最终结果!$E$8),0)</f>
        <v>93</v>
      </c>
      <c r="F887">
        <f ca="1">ROUND(NORMINV(RAND(),最终结果!$I$12,最终结果!$E$12),0)</f>
        <v>114</v>
      </c>
      <c r="G887" t="str">
        <f t="shared" ca="1" si="28"/>
        <v>Home</v>
      </c>
      <c r="H887" t="str">
        <f ca="1">IF(E887+最终结果!$G$8&gt;simulation!F887,"W","L")</f>
        <v>L</v>
      </c>
      <c r="I887" t="str">
        <f ca="1">IF(F887+最终结果!$G$12&gt;simulation!E887,"W","L")</f>
        <v>W</v>
      </c>
      <c r="J887" t="str">
        <f ca="1">IF((E887+F887)&gt;最终结果!$H$8,"Over","Under")</f>
        <v>Under</v>
      </c>
    </row>
    <row r="888" spans="3:10" x14ac:dyDescent="0.25">
      <c r="C888">
        <v>887</v>
      </c>
      <c r="D888" t="str">
        <f t="shared" ca="1" si="27"/>
        <v>1</v>
      </c>
      <c r="E888">
        <f ca="1">ROUND(NORMINV(RAND(),最终结果!$I$8,最终结果!$E$8),0)</f>
        <v>120</v>
      </c>
      <c r="F888">
        <f ca="1">ROUND(NORMINV(RAND(),最终结果!$I$12,最终结果!$E$12),0)</f>
        <v>117</v>
      </c>
      <c r="G888" t="str">
        <f t="shared" ca="1" si="28"/>
        <v>Away</v>
      </c>
      <c r="H888" t="str">
        <f ca="1">IF(E888+最终结果!$G$8&gt;simulation!F888,"W","L")</f>
        <v>W</v>
      </c>
      <c r="I888" t="str">
        <f ca="1">IF(F888+最终结果!$G$12&gt;simulation!E888,"W","L")</f>
        <v>L</v>
      </c>
      <c r="J888" t="str">
        <f ca="1">IF((E888+F888)&gt;最终结果!$H$8,"Over","Under")</f>
        <v>Under</v>
      </c>
    </row>
    <row r="889" spans="3:10" x14ac:dyDescent="0.25">
      <c r="C889">
        <v>888</v>
      </c>
      <c r="D889" t="str">
        <f t="shared" ca="1" si="27"/>
        <v>-1</v>
      </c>
      <c r="E889">
        <f ca="1">ROUND(NORMINV(RAND(),最终结果!$I$8,最终结果!$E$8),0)</f>
        <v>100</v>
      </c>
      <c r="F889">
        <f ca="1">ROUND(NORMINV(RAND(),最终结果!$I$12,最终结果!$E$12),0)</f>
        <v>123</v>
      </c>
      <c r="G889" t="str">
        <f t="shared" ca="1" si="28"/>
        <v>Home</v>
      </c>
      <c r="H889" t="str">
        <f ca="1">IF(E889+最终结果!$G$8&gt;simulation!F889,"W","L")</f>
        <v>L</v>
      </c>
      <c r="I889" t="str">
        <f ca="1">IF(F889+最终结果!$G$12&gt;simulation!E889,"W","L")</f>
        <v>W</v>
      </c>
      <c r="J889" t="str">
        <f ca="1">IF((E889+F889)&gt;最终结果!$H$8,"Over","Under")</f>
        <v>Under</v>
      </c>
    </row>
    <row r="890" spans="3:10" x14ac:dyDescent="0.25">
      <c r="C890">
        <v>889</v>
      </c>
      <c r="D890" t="str">
        <f t="shared" ca="1" si="27"/>
        <v>1</v>
      </c>
      <c r="E890">
        <f ca="1">ROUND(NORMINV(RAND(),最终结果!$I$8,最终结果!$E$8),0)</f>
        <v>115</v>
      </c>
      <c r="F890">
        <f ca="1">ROUND(NORMINV(RAND(),最终结果!$I$12,最终结果!$E$12),0)</f>
        <v>101</v>
      </c>
      <c r="G890" t="str">
        <f t="shared" ca="1" si="28"/>
        <v>Away</v>
      </c>
      <c r="H890" t="str">
        <f ca="1">IF(E890+最终结果!$G$8&gt;simulation!F890,"W","L")</f>
        <v>W</v>
      </c>
      <c r="I890" t="str">
        <f ca="1">IF(F890+最终结果!$G$12&gt;simulation!E890,"W","L")</f>
        <v>L</v>
      </c>
      <c r="J890" t="str">
        <f ca="1">IF((E890+F890)&gt;最终结果!$H$8,"Over","Under")</f>
        <v>Under</v>
      </c>
    </row>
    <row r="891" spans="3:10" x14ac:dyDescent="0.25">
      <c r="C891">
        <v>890</v>
      </c>
      <c r="D891" t="str">
        <f t="shared" ca="1" si="27"/>
        <v>-1</v>
      </c>
      <c r="E891">
        <f ca="1">ROUND(NORMINV(RAND(),最终结果!$I$8,最终结果!$E$8),0)</f>
        <v>100</v>
      </c>
      <c r="F891">
        <f ca="1">ROUND(NORMINV(RAND(),最终结果!$I$12,最终结果!$E$12),0)</f>
        <v>130</v>
      </c>
      <c r="G891" t="str">
        <f t="shared" ca="1" si="28"/>
        <v>Home</v>
      </c>
      <c r="H891" t="str">
        <f ca="1">IF(E891+最终结果!$G$8&gt;simulation!F891,"W","L")</f>
        <v>L</v>
      </c>
      <c r="I891" t="str">
        <f ca="1">IF(F891+最终结果!$G$12&gt;simulation!E891,"W","L")</f>
        <v>W</v>
      </c>
      <c r="J891" t="str">
        <f ca="1">IF((E891+F891)&gt;最终结果!$H$8,"Over","Under")</f>
        <v>Under</v>
      </c>
    </row>
    <row r="892" spans="3:10" x14ac:dyDescent="0.25">
      <c r="C892">
        <v>891</v>
      </c>
      <c r="D892" t="str">
        <f t="shared" ca="1" si="27"/>
        <v>-1</v>
      </c>
      <c r="E892">
        <f ca="1">ROUND(NORMINV(RAND(),最终结果!$I$8,最终结果!$E$8),0)</f>
        <v>108</v>
      </c>
      <c r="F892">
        <f ca="1">ROUND(NORMINV(RAND(),最终结果!$I$12,最终结果!$E$12),0)</f>
        <v>125</v>
      </c>
      <c r="G892" t="str">
        <f t="shared" ca="1" si="28"/>
        <v>Home</v>
      </c>
      <c r="H892" t="str">
        <f ca="1">IF(E892+最终结果!$G$8&gt;simulation!F892,"W","L")</f>
        <v>L</v>
      </c>
      <c r="I892" t="str">
        <f ca="1">IF(F892+最终结果!$G$12&gt;simulation!E892,"W","L")</f>
        <v>W</v>
      </c>
      <c r="J892" t="str">
        <f ca="1">IF((E892+F892)&gt;最终结果!$H$8,"Over","Under")</f>
        <v>Under</v>
      </c>
    </row>
    <row r="893" spans="3:10" x14ac:dyDescent="0.25">
      <c r="C893">
        <v>892</v>
      </c>
      <c r="D893" t="str">
        <f t="shared" ca="1" si="27"/>
        <v>1</v>
      </c>
      <c r="E893">
        <f ca="1">ROUND(NORMINV(RAND(),最终结果!$I$8,最终结果!$E$8),0)</f>
        <v>117</v>
      </c>
      <c r="F893">
        <f ca="1">ROUND(NORMINV(RAND(),最终结果!$I$12,最终结果!$E$12),0)</f>
        <v>88</v>
      </c>
      <c r="G893" t="str">
        <f t="shared" ca="1" si="28"/>
        <v>Away</v>
      </c>
      <c r="H893" t="str">
        <f ca="1">IF(E893+最终结果!$G$8&gt;simulation!F893,"W","L")</f>
        <v>W</v>
      </c>
      <c r="I893" t="str">
        <f ca="1">IF(F893+最终结果!$G$12&gt;simulation!E893,"W","L")</f>
        <v>L</v>
      </c>
      <c r="J893" t="str">
        <f ca="1">IF((E893+F893)&gt;最终结果!$H$8,"Over","Under")</f>
        <v>Under</v>
      </c>
    </row>
    <row r="894" spans="3:10" x14ac:dyDescent="0.25">
      <c r="C894">
        <v>893</v>
      </c>
      <c r="D894" t="str">
        <f t="shared" ca="1" si="27"/>
        <v>-1</v>
      </c>
      <c r="E894">
        <f ca="1">ROUND(NORMINV(RAND(),最终结果!$I$8,最终结果!$E$8),0)</f>
        <v>101</v>
      </c>
      <c r="F894">
        <f ca="1">ROUND(NORMINV(RAND(),最终结果!$I$12,最终结果!$E$12),0)</f>
        <v>125</v>
      </c>
      <c r="G894" t="str">
        <f t="shared" ca="1" si="28"/>
        <v>Home</v>
      </c>
      <c r="H894" t="str">
        <f ca="1">IF(E894+最终结果!$G$8&gt;simulation!F894,"W","L")</f>
        <v>L</v>
      </c>
      <c r="I894" t="str">
        <f ca="1">IF(F894+最终结果!$G$12&gt;simulation!E894,"W","L")</f>
        <v>W</v>
      </c>
      <c r="J894" t="str">
        <f ca="1">IF((E894+F894)&gt;最终结果!$H$8,"Over","Under")</f>
        <v>Under</v>
      </c>
    </row>
    <row r="895" spans="3:10" x14ac:dyDescent="0.25">
      <c r="C895">
        <v>894</v>
      </c>
      <c r="D895" t="str">
        <f t="shared" ca="1" si="27"/>
        <v>-1</v>
      </c>
      <c r="E895">
        <f ca="1">ROUND(NORMINV(RAND(),最终结果!$I$8,最终结果!$E$8),0)</f>
        <v>113</v>
      </c>
      <c r="F895">
        <f ca="1">ROUND(NORMINV(RAND(),最终结果!$I$12,最终结果!$E$12),0)</f>
        <v>125</v>
      </c>
      <c r="G895" t="str">
        <f t="shared" ca="1" si="28"/>
        <v>Home</v>
      </c>
      <c r="H895" t="str">
        <f ca="1">IF(E895+最终结果!$G$8&gt;simulation!F895,"W","L")</f>
        <v>L</v>
      </c>
      <c r="I895" t="str">
        <f ca="1">IF(F895+最终结果!$G$12&gt;simulation!E895,"W","L")</f>
        <v>W</v>
      </c>
      <c r="J895" t="str">
        <f ca="1">IF((E895+F895)&gt;最终结果!$H$8,"Over","Under")</f>
        <v>Over</v>
      </c>
    </row>
    <row r="896" spans="3:10" x14ac:dyDescent="0.25">
      <c r="C896">
        <v>895</v>
      </c>
      <c r="D896" t="str">
        <f t="shared" ca="1" si="27"/>
        <v>1</v>
      </c>
      <c r="E896">
        <f ca="1">ROUND(NORMINV(RAND(),最终结果!$I$8,最终结果!$E$8),0)</f>
        <v>145</v>
      </c>
      <c r="F896">
        <f ca="1">ROUND(NORMINV(RAND(),最终结果!$I$12,最终结果!$E$12),0)</f>
        <v>119</v>
      </c>
      <c r="G896" t="str">
        <f t="shared" ca="1" si="28"/>
        <v>Away</v>
      </c>
      <c r="H896" t="str">
        <f ca="1">IF(E896+最终结果!$G$8&gt;simulation!F896,"W","L")</f>
        <v>W</v>
      </c>
      <c r="I896" t="str">
        <f ca="1">IF(F896+最终结果!$G$12&gt;simulation!E896,"W","L")</f>
        <v>L</v>
      </c>
      <c r="J896" t="str">
        <f ca="1">IF((E896+F896)&gt;最终结果!$H$8,"Over","Under")</f>
        <v>Over</v>
      </c>
    </row>
    <row r="897" spans="3:10" x14ac:dyDescent="0.25">
      <c r="C897">
        <v>896</v>
      </c>
      <c r="D897" t="str">
        <f t="shared" ca="1" si="27"/>
        <v>1</v>
      </c>
      <c r="E897">
        <f ca="1">ROUND(NORMINV(RAND(),最终结果!$I$8,最终结果!$E$8),0)</f>
        <v>120</v>
      </c>
      <c r="F897">
        <f ca="1">ROUND(NORMINV(RAND(),最终结果!$I$12,最终结果!$E$12),0)</f>
        <v>119</v>
      </c>
      <c r="G897" t="str">
        <f t="shared" ca="1" si="28"/>
        <v>Away</v>
      </c>
      <c r="H897" t="str">
        <f ca="1">IF(E897+最终结果!$G$8&gt;simulation!F897,"W","L")</f>
        <v>W</v>
      </c>
      <c r="I897" t="str">
        <f ca="1">IF(F897+最终结果!$G$12&gt;simulation!E897,"W","L")</f>
        <v>L</v>
      </c>
      <c r="J897" t="str">
        <f ca="1">IF((E897+F897)&gt;最终结果!$H$8,"Over","Under")</f>
        <v>Over</v>
      </c>
    </row>
    <row r="898" spans="3:10" x14ac:dyDescent="0.25">
      <c r="C898">
        <v>897</v>
      </c>
      <c r="D898" t="str">
        <f t="shared" ca="1" si="27"/>
        <v>1</v>
      </c>
      <c r="E898">
        <f ca="1">ROUND(NORMINV(RAND(),最终结果!$I$8,最终结果!$E$8),0)</f>
        <v>144</v>
      </c>
      <c r="F898">
        <f ca="1">ROUND(NORMINV(RAND(),最终结果!$I$12,最终结果!$E$12),0)</f>
        <v>126</v>
      </c>
      <c r="G898" t="str">
        <f t="shared" ca="1" si="28"/>
        <v>Away</v>
      </c>
      <c r="H898" t="str">
        <f ca="1">IF(E898+最终结果!$G$8&gt;simulation!F898,"W","L")</f>
        <v>W</v>
      </c>
      <c r="I898" t="str">
        <f ca="1">IF(F898+最终结果!$G$12&gt;simulation!E898,"W","L")</f>
        <v>L</v>
      </c>
      <c r="J898" t="str">
        <f ca="1">IF((E898+F898)&gt;最终结果!$H$8,"Over","Under")</f>
        <v>Over</v>
      </c>
    </row>
    <row r="899" spans="3:10" x14ac:dyDescent="0.25">
      <c r="C899">
        <v>898</v>
      </c>
      <c r="D899" t="str">
        <f t="shared" ref="D899:D962" ca="1" si="29">IF(E899=F899,0,IF(E899&gt;F899,"1","-1"))</f>
        <v>1</v>
      </c>
      <c r="E899">
        <f ca="1">ROUND(NORMINV(RAND(),最终结果!$I$8,最终结果!$E$8),0)</f>
        <v>125</v>
      </c>
      <c r="F899">
        <f ca="1">ROUND(NORMINV(RAND(),最终结果!$I$12,最终结果!$E$12),0)</f>
        <v>121</v>
      </c>
      <c r="G899" t="str">
        <f t="shared" ca="1" si="28"/>
        <v>Away</v>
      </c>
      <c r="H899" t="str">
        <f ca="1">IF(E899+最终结果!$G$8&gt;simulation!F899,"W","L")</f>
        <v>W</v>
      </c>
      <c r="I899" t="str">
        <f ca="1">IF(F899+最终结果!$G$12&gt;simulation!E899,"W","L")</f>
        <v>L</v>
      </c>
      <c r="J899" t="str">
        <f ca="1">IF((E899+F899)&gt;最终结果!$H$8,"Over","Under")</f>
        <v>Over</v>
      </c>
    </row>
    <row r="900" spans="3:10" x14ac:dyDescent="0.25">
      <c r="C900">
        <v>899</v>
      </c>
      <c r="D900" t="str">
        <f t="shared" ca="1" si="29"/>
        <v>-1</v>
      </c>
      <c r="E900">
        <f ca="1">ROUND(NORMINV(RAND(),最终结果!$I$8,最终结果!$E$8),0)</f>
        <v>91</v>
      </c>
      <c r="F900">
        <f ca="1">ROUND(NORMINV(RAND(),最终结果!$I$12,最终结果!$E$12),0)</f>
        <v>121</v>
      </c>
      <c r="G900" t="str">
        <f t="shared" ca="1" si="28"/>
        <v>Home</v>
      </c>
      <c r="H900" t="str">
        <f ca="1">IF(E900+最终结果!$G$8&gt;simulation!F900,"W","L")</f>
        <v>L</v>
      </c>
      <c r="I900" t="str">
        <f ca="1">IF(F900+最终结果!$G$12&gt;simulation!E900,"W","L")</f>
        <v>W</v>
      </c>
      <c r="J900" t="str">
        <f ca="1">IF((E900+F900)&gt;最终结果!$H$8,"Over","Under")</f>
        <v>Under</v>
      </c>
    </row>
    <row r="901" spans="3:10" x14ac:dyDescent="0.25">
      <c r="C901">
        <v>900</v>
      </c>
      <c r="D901" t="str">
        <f t="shared" ca="1" si="29"/>
        <v>1</v>
      </c>
      <c r="E901">
        <f ca="1">ROUND(NORMINV(RAND(),最终结果!$I$8,最终结果!$E$8),0)</f>
        <v>120</v>
      </c>
      <c r="F901">
        <f ca="1">ROUND(NORMINV(RAND(),最终结果!$I$12,最终结果!$E$12),0)</f>
        <v>118</v>
      </c>
      <c r="G901" t="str">
        <f t="shared" ca="1" si="28"/>
        <v>Away</v>
      </c>
      <c r="H901" t="str">
        <f ca="1">IF(E901+最终结果!$G$8&gt;simulation!F901,"W","L")</f>
        <v>W</v>
      </c>
      <c r="I901" t="str">
        <f ca="1">IF(F901+最终结果!$G$12&gt;simulation!E901,"W","L")</f>
        <v>L</v>
      </c>
      <c r="J901" t="str">
        <f ca="1">IF((E901+F901)&gt;最终结果!$H$8,"Over","Under")</f>
        <v>Over</v>
      </c>
    </row>
    <row r="902" spans="3:10" x14ac:dyDescent="0.25">
      <c r="C902">
        <v>901</v>
      </c>
      <c r="D902" t="str">
        <f t="shared" ca="1" si="29"/>
        <v>-1</v>
      </c>
      <c r="E902">
        <f ca="1">ROUND(NORMINV(RAND(),最终结果!$I$8,最终结果!$E$8),0)</f>
        <v>107</v>
      </c>
      <c r="F902">
        <f ca="1">ROUND(NORMINV(RAND(),最终结果!$I$12,最终结果!$E$12),0)</f>
        <v>114</v>
      </c>
      <c r="G902" t="str">
        <f t="shared" ca="1" si="28"/>
        <v>Home</v>
      </c>
      <c r="H902" t="str">
        <f ca="1">IF(E902+最终结果!$G$8&gt;simulation!F902,"W","L")</f>
        <v>L</v>
      </c>
      <c r="I902" t="str">
        <f ca="1">IF(F902+最终结果!$G$12&gt;simulation!E902,"W","L")</f>
        <v>W</v>
      </c>
      <c r="J902" t="str">
        <f ca="1">IF((E902+F902)&gt;最终结果!$H$8,"Over","Under")</f>
        <v>Under</v>
      </c>
    </row>
    <row r="903" spans="3:10" x14ac:dyDescent="0.25">
      <c r="C903">
        <v>902</v>
      </c>
      <c r="D903" t="str">
        <f t="shared" ca="1" si="29"/>
        <v>-1</v>
      </c>
      <c r="E903">
        <f ca="1">ROUND(NORMINV(RAND(),最终结果!$I$8,最终结果!$E$8),0)</f>
        <v>122</v>
      </c>
      <c r="F903">
        <f ca="1">ROUND(NORMINV(RAND(),最终结果!$I$12,最终结果!$E$12),0)</f>
        <v>126</v>
      </c>
      <c r="G903" t="str">
        <f t="shared" ca="1" si="28"/>
        <v>Home</v>
      </c>
      <c r="H903" t="str">
        <f ca="1">IF(E903+最终结果!$G$8&gt;simulation!F903,"W","L")</f>
        <v>L</v>
      </c>
      <c r="I903" t="str">
        <f ca="1">IF(F903+最终结果!$G$12&gt;simulation!E903,"W","L")</f>
        <v>W</v>
      </c>
      <c r="J903" t="str">
        <f ca="1">IF((E903+F903)&gt;最终结果!$H$8,"Over","Under")</f>
        <v>Over</v>
      </c>
    </row>
    <row r="904" spans="3:10" x14ac:dyDescent="0.25">
      <c r="C904">
        <v>903</v>
      </c>
      <c r="D904" t="str">
        <f t="shared" ca="1" si="29"/>
        <v>-1</v>
      </c>
      <c r="E904">
        <f ca="1">ROUND(NORMINV(RAND(),最终结果!$I$8,最终结果!$E$8),0)</f>
        <v>120</v>
      </c>
      <c r="F904">
        <f ca="1">ROUND(NORMINV(RAND(),最终结果!$I$12,最终结果!$E$12),0)</f>
        <v>140</v>
      </c>
      <c r="G904" t="str">
        <f t="shared" ca="1" si="28"/>
        <v>Home</v>
      </c>
      <c r="H904" t="str">
        <f ca="1">IF(E904+最终结果!$G$8&gt;simulation!F904,"W","L")</f>
        <v>L</v>
      </c>
      <c r="I904" t="str">
        <f ca="1">IF(F904+最终结果!$G$12&gt;simulation!E904,"W","L")</f>
        <v>W</v>
      </c>
      <c r="J904" t="str">
        <f ca="1">IF((E904+F904)&gt;最终结果!$H$8,"Over","Under")</f>
        <v>Over</v>
      </c>
    </row>
    <row r="905" spans="3:10" x14ac:dyDescent="0.25">
      <c r="C905">
        <v>904</v>
      </c>
      <c r="D905" t="str">
        <f t="shared" ca="1" si="29"/>
        <v>1</v>
      </c>
      <c r="E905">
        <f ca="1">ROUND(NORMINV(RAND(),最终结果!$I$8,最终结果!$E$8),0)</f>
        <v>121</v>
      </c>
      <c r="F905">
        <f ca="1">ROUND(NORMINV(RAND(),最终结果!$I$12,最终结果!$E$12),0)</f>
        <v>89</v>
      </c>
      <c r="G905" t="str">
        <f t="shared" ca="1" si="28"/>
        <v>Away</v>
      </c>
      <c r="H905" t="str">
        <f ca="1">IF(E905+最终结果!$G$8&gt;simulation!F905,"W","L")</f>
        <v>W</v>
      </c>
      <c r="I905" t="str">
        <f ca="1">IF(F905+最终结果!$G$12&gt;simulation!E905,"W","L")</f>
        <v>L</v>
      </c>
      <c r="J905" t="str">
        <f ca="1">IF((E905+F905)&gt;最终结果!$H$8,"Over","Under")</f>
        <v>Under</v>
      </c>
    </row>
    <row r="906" spans="3:10" x14ac:dyDescent="0.25">
      <c r="C906">
        <v>905</v>
      </c>
      <c r="D906" t="str">
        <f t="shared" ca="1" si="29"/>
        <v>1</v>
      </c>
      <c r="E906">
        <f ca="1">ROUND(NORMINV(RAND(),最终结果!$I$8,最终结果!$E$8),0)</f>
        <v>116</v>
      </c>
      <c r="F906">
        <f ca="1">ROUND(NORMINV(RAND(),最终结果!$I$12,最终结果!$E$12),0)</f>
        <v>109</v>
      </c>
      <c r="G906" t="str">
        <f t="shared" ca="1" si="28"/>
        <v>Away</v>
      </c>
      <c r="H906" t="str">
        <f ca="1">IF(E906+最终结果!$G$8&gt;simulation!F906,"W","L")</f>
        <v>W</v>
      </c>
      <c r="I906" t="str">
        <f ca="1">IF(F906+最终结果!$G$12&gt;simulation!E906,"W","L")</f>
        <v>L</v>
      </c>
      <c r="J906" t="str">
        <f ca="1">IF((E906+F906)&gt;最终结果!$H$8,"Over","Under")</f>
        <v>Under</v>
      </c>
    </row>
    <row r="907" spans="3:10" x14ac:dyDescent="0.25">
      <c r="C907">
        <v>906</v>
      </c>
      <c r="D907" t="str">
        <f t="shared" ca="1" si="29"/>
        <v>-1</v>
      </c>
      <c r="E907">
        <f ca="1">ROUND(NORMINV(RAND(),最终结果!$I$8,最终结果!$E$8),0)</f>
        <v>102</v>
      </c>
      <c r="F907">
        <f ca="1">ROUND(NORMINV(RAND(),最终结果!$I$12,最终结果!$E$12),0)</f>
        <v>117</v>
      </c>
      <c r="G907" t="str">
        <f t="shared" ca="1" si="28"/>
        <v>Home</v>
      </c>
      <c r="H907" t="str">
        <f ca="1">IF(E907+最终结果!$G$8&gt;simulation!F907,"W","L")</f>
        <v>L</v>
      </c>
      <c r="I907" t="str">
        <f ca="1">IF(F907+最终结果!$G$12&gt;simulation!E907,"W","L")</f>
        <v>W</v>
      </c>
      <c r="J907" t="str">
        <f ca="1">IF((E907+F907)&gt;最终结果!$H$8,"Over","Under")</f>
        <v>Under</v>
      </c>
    </row>
    <row r="908" spans="3:10" x14ac:dyDescent="0.25">
      <c r="C908">
        <v>907</v>
      </c>
      <c r="D908" t="str">
        <f t="shared" ca="1" si="29"/>
        <v>1</v>
      </c>
      <c r="E908">
        <f ca="1">ROUND(NORMINV(RAND(),最终结果!$I$8,最终结果!$E$8),0)</f>
        <v>123</v>
      </c>
      <c r="F908">
        <f ca="1">ROUND(NORMINV(RAND(),最终结果!$I$12,最终结果!$E$12),0)</f>
        <v>97</v>
      </c>
      <c r="G908" t="str">
        <f t="shared" ca="1" si="28"/>
        <v>Away</v>
      </c>
      <c r="H908" t="str">
        <f ca="1">IF(E908+最终结果!$G$8&gt;simulation!F908,"W","L")</f>
        <v>W</v>
      </c>
      <c r="I908" t="str">
        <f ca="1">IF(F908+最终结果!$G$12&gt;simulation!E908,"W","L")</f>
        <v>L</v>
      </c>
      <c r="J908" t="str">
        <f ca="1">IF((E908+F908)&gt;最终结果!$H$8,"Over","Under")</f>
        <v>Under</v>
      </c>
    </row>
    <row r="909" spans="3:10" x14ac:dyDescent="0.25">
      <c r="C909">
        <v>908</v>
      </c>
      <c r="D909" t="str">
        <f t="shared" ca="1" si="29"/>
        <v>-1</v>
      </c>
      <c r="E909">
        <f ca="1">ROUND(NORMINV(RAND(),最终结果!$I$8,最终结果!$E$8),0)</f>
        <v>95</v>
      </c>
      <c r="F909">
        <f ca="1">ROUND(NORMINV(RAND(),最终结果!$I$12,最终结果!$E$12),0)</f>
        <v>125</v>
      </c>
      <c r="G909" t="str">
        <f t="shared" ca="1" si="28"/>
        <v>Home</v>
      </c>
      <c r="H909" t="str">
        <f ca="1">IF(E909+最终结果!$G$8&gt;simulation!F909,"W","L")</f>
        <v>L</v>
      </c>
      <c r="I909" t="str">
        <f ca="1">IF(F909+最终结果!$G$12&gt;simulation!E909,"W","L")</f>
        <v>W</v>
      </c>
      <c r="J909" t="str">
        <f ca="1">IF((E909+F909)&gt;最终结果!$H$8,"Over","Under")</f>
        <v>Under</v>
      </c>
    </row>
    <row r="910" spans="3:10" x14ac:dyDescent="0.25">
      <c r="C910">
        <v>909</v>
      </c>
      <c r="D910" t="str">
        <f t="shared" ca="1" si="29"/>
        <v>-1</v>
      </c>
      <c r="E910">
        <f ca="1">ROUND(NORMINV(RAND(),最终结果!$I$8,最终结果!$E$8),0)</f>
        <v>122</v>
      </c>
      <c r="F910">
        <f ca="1">ROUND(NORMINV(RAND(),最终结果!$I$12,最终结果!$E$12),0)</f>
        <v>128</v>
      </c>
      <c r="G910" t="str">
        <f t="shared" ref="G910:G973" ca="1" si="30">IF(E910=F910,"OT",IF(E910&gt;F910,"Away","Home"))</f>
        <v>Home</v>
      </c>
      <c r="H910" t="str">
        <f ca="1">IF(E910+最终结果!$G$8&gt;simulation!F910,"W","L")</f>
        <v>L</v>
      </c>
      <c r="I910" t="str">
        <f ca="1">IF(F910+最终结果!$G$12&gt;simulation!E910,"W","L")</f>
        <v>W</v>
      </c>
      <c r="J910" t="str">
        <f ca="1">IF((E910+F910)&gt;最终结果!$H$8,"Over","Under")</f>
        <v>Over</v>
      </c>
    </row>
    <row r="911" spans="3:10" x14ac:dyDescent="0.25">
      <c r="C911">
        <v>910</v>
      </c>
      <c r="D911" t="str">
        <f t="shared" ca="1" si="29"/>
        <v>-1</v>
      </c>
      <c r="E911">
        <f ca="1">ROUND(NORMINV(RAND(),最终结果!$I$8,最终结果!$E$8),0)</f>
        <v>106</v>
      </c>
      <c r="F911">
        <f ca="1">ROUND(NORMINV(RAND(),最终结果!$I$12,最终结果!$E$12),0)</f>
        <v>111</v>
      </c>
      <c r="G911" t="str">
        <f t="shared" ca="1" si="30"/>
        <v>Home</v>
      </c>
      <c r="H911" t="str">
        <f ca="1">IF(E911+最终结果!$G$8&gt;simulation!F911,"W","L")</f>
        <v>L</v>
      </c>
      <c r="I911" t="str">
        <f ca="1">IF(F911+最终结果!$G$12&gt;simulation!E911,"W","L")</f>
        <v>W</v>
      </c>
      <c r="J911" t="str">
        <f ca="1">IF((E911+F911)&gt;最终结果!$H$8,"Over","Under")</f>
        <v>Under</v>
      </c>
    </row>
    <row r="912" spans="3:10" x14ac:dyDescent="0.25">
      <c r="C912">
        <v>911</v>
      </c>
      <c r="D912" t="str">
        <f t="shared" ca="1" si="29"/>
        <v>1</v>
      </c>
      <c r="E912">
        <f ca="1">ROUND(NORMINV(RAND(),最终结果!$I$8,最终结果!$E$8),0)</f>
        <v>123</v>
      </c>
      <c r="F912">
        <f ca="1">ROUND(NORMINV(RAND(),最终结果!$I$12,最终结果!$E$12),0)</f>
        <v>110</v>
      </c>
      <c r="G912" t="str">
        <f t="shared" ca="1" si="30"/>
        <v>Away</v>
      </c>
      <c r="H912" t="str">
        <f ca="1">IF(E912+最终结果!$G$8&gt;simulation!F912,"W","L")</f>
        <v>W</v>
      </c>
      <c r="I912" t="str">
        <f ca="1">IF(F912+最终结果!$G$12&gt;simulation!E912,"W","L")</f>
        <v>L</v>
      </c>
      <c r="J912" t="str">
        <f ca="1">IF((E912+F912)&gt;最终结果!$H$8,"Over","Under")</f>
        <v>Under</v>
      </c>
    </row>
    <row r="913" spans="3:10" x14ac:dyDescent="0.25">
      <c r="C913">
        <v>912</v>
      </c>
      <c r="D913" t="str">
        <f t="shared" ca="1" si="29"/>
        <v>-1</v>
      </c>
      <c r="E913">
        <f ca="1">ROUND(NORMINV(RAND(),最终结果!$I$8,最终结果!$E$8),0)</f>
        <v>112</v>
      </c>
      <c r="F913">
        <f ca="1">ROUND(NORMINV(RAND(),最终结果!$I$12,最终结果!$E$12),0)</f>
        <v>116</v>
      </c>
      <c r="G913" t="str">
        <f t="shared" ca="1" si="30"/>
        <v>Home</v>
      </c>
      <c r="H913" t="str">
        <f ca="1">IF(E913+最终结果!$G$8&gt;simulation!F913,"W","L")</f>
        <v>L</v>
      </c>
      <c r="I913" t="str">
        <f ca="1">IF(F913+最终结果!$G$12&gt;simulation!E913,"W","L")</f>
        <v>W</v>
      </c>
      <c r="J913" t="str">
        <f ca="1">IF((E913+F913)&gt;最终结果!$H$8,"Over","Under")</f>
        <v>Under</v>
      </c>
    </row>
    <row r="914" spans="3:10" x14ac:dyDescent="0.25">
      <c r="C914">
        <v>913</v>
      </c>
      <c r="D914" t="str">
        <f t="shared" ca="1" si="29"/>
        <v>-1</v>
      </c>
      <c r="E914">
        <f ca="1">ROUND(NORMINV(RAND(),最终结果!$I$8,最终结果!$E$8),0)</f>
        <v>109</v>
      </c>
      <c r="F914">
        <f ca="1">ROUND(NORMINV(RAND(),最终结果!$I$12,最终结果!$E$12),0)</f>
        <v>138</v>
      </c>
      <c r="G914" t="str">
        <f t="shared" ca="1" si="30"/>
        <v>Home</v>
      </c>
      <c r="H914" t="str">
        <f ca="1">IF(E914+最终结果!$G$8&gt;simulation!F914,"W","L")</f>
        <v>L</v>
      </c>
      <c r="I914" t="str">
        <f ca="1">IF(F914+最终结果!$G$12&gt;simulation!E914,"W","L")</f>
        <v>W</v>
      </c>
      <c r="J914" t="str">
        <f ca="1">IF((E914+F914)&gt;最终结果!$H$8,"Over","Under")</f>
        <v>Over</v>
      </c>
    </row>
    <row r="915" spans="3:10" x14ac:dyDescent="0.25">
      <c r="C915">
        <v>914</v>
      </c>
      <c r="D915" t="str">
        <f t="shared" ca="1" si="29"/>
        <v>-1</v>
      </c>
      <c r="E915">
        <f ca="1">ROUND(NORMINV(RAND(),最终结果!$I$8,最终结果!$E$8),0)</f>
        <v>104</v>
      </c>
      <c r="F915">
        <f ca="1">ROUND(NORMINV(RAND(),最终结果!$I$12,最终结果!$E$12),0)</f>
        <v>133</v>
      </c>
      <c r="G915" t="str">
        <f t="shared" ca="1" si="30"/>
        <v>Home</v>
      </c>
      <c r="H915" t="str">
        <f ca="1">IF(E915+最终结果!$G$8&gt;simulation!F915,"W","L")</f>
        <v>L</v>
      </c>
      <c r="I915" t="str">
        <f ca="1">IF(F915+最终结果!$G$12&gt;simulation!E915,"W","L")</f>
        <v>W</v>
      </c>
      <c r="J915" t="str">
        <f ca="1">IF((E915+F915)&gt;最终结果!$H$8,"Over","Under")</f>
        <v>Under</v>
      </c>
    </row>
    <row r="916" spans="3:10" x14ac:dyDescent="0.25">
      <c r="C916">
        <v>915</v>
      </c>
      <c r="D916" t="str">
        <f t="shared" ca="1" si="29"/>
        <v>1</v>
      </c>
      <c r="E916">
        <f ca="1">ROUND(NORMINV(RAND(),最终结果!$I$8,最终结果!$E$8),0)</f>
        <v>118</v>
      </c>
      <c r="F916">
        <f ca="1">ROUND(NORMINV(RAND(),最终结果!$I$12,最终结果!$E$12),0)</f>
        <v>117</v>
      </c>
      <c r="G916" t="str">
        <f t="shared" ca="1" si="30"/>
        <v>Away</v>
      </c>
      <c r="H916" t="str">
        <f ca="1">IF(E916+最终结果!$G$8&gt;simulation!F916,"W","L")</f>
        <v>W</v>
      </c>
      <c r="I916" t="str">
        <f ca="1">IF(F916+最终结果!$G$12&gt;simulation!E916,"W","L")</f>
        <v>L</v>
      </c>
      <c r="J916" t="str">
        <f ca="1">IF((E916+F916)&gt;最终结果!$H$8,"Over","Under")</f>
        <v>Under</v>
      </c>
    </row>
    <row r="917" spans="3:10" x14ac:dyDescent="0.25">
      <c r="C917">
        <v>916</v>
      </c>
      <c r="D917" t="str">
        <f t="shared" ca="1" si="29"/>
        <v>1</v>
      </c>
      <c r="E917">
        <f ca="1">ROUND(NORMINV(RAND(),最终结果!$I$8,最终结果!$E$8),0)</f>
        <v>112</v>
      </c>
      <c r="F917">
        <f ca="1">ROUND(NORMINV(RAND(),最终结果!$I$12,最终结果!$E$12),0)</f>
        <v>106</v>
      </c>
      <c r="G917" t="str">
        <f t="shared" ca="1" si="30"/>
        <v>Away</v>
      </c>
      <c r="H917" t="str">
        <f ca="1">IF(E917+最终结果!$G$8&gt;simulation!F917,"W","L")</f>
        <v>W</v>
      </c>
      <c r="I917" t="str">
        <f ca="1">IF(F917+最终结果!$G$12&gt;simulation!E917,"W","L")</f>
        <v>L</v>
      </c>
      <c r="J917" t="str">
        <f ca="1">IF((E917+F917)&gt;最终结果!$H$8,"Over","Under")</f>
        <v>Under</v>
      </c>
    </row>
    <row r="918" spans="3:10" x14ac:dyDescent="0.25">
      <c r="C918">
        <v>917</v>
      </c>
      <c r="D918" t="str">
        <f t="shared" ca="1" si="29"/>
        <v>1</v>
      </c>
      <c r="E918">
        <f ca="1">ROUND(NORMINV(RAND(),最终结果!$I$8,最终结果!$E$8),0)</f>
        <v>120</v>
      </c>
      <c r="F918">
        <f ca="1">ROUND(NORMINV(RAND(),最终结果!$I$12,最终结果!$E$12),0)</f>
        <v>114</v>
      </c>
      <c r="G918" t="str">
        <f t="shared" ca="1" si="30"/>
        <v>Away</v>
      </c>
      <c r="H918" t="str">
        <f ca="1">IF(E918+最终结果!$G$8&gt;simulation!F918,"W","L")</f>
        <v>W</v>
      </c>
      <c r="I918" t="str">
        <f ca="1">IF(F918+最终结果!$G$12&gt;simulation!E918,"W","L")</f>
        <v>L</v>
      </c>
      <c r="J918" t="str">
        <f ca="1">IF((E918+F918)&gt;最终结果!$H$8,"Over","Under")</f>
        <v>Under</v>
      </c>
    </row>
    <row r="919" spans="3:10" x14ac:dyDescent="0.25">
      <c r="C919">
        <v>918</v>
      </c>
      <c r="D919" t="str">
        <f t="shared" ca="1" si="29"/>
        <v>1</v>
      </c>
      <c r="E919">
        <f ca="1">ROUND(NORMINV(RAND(),最终结果!$I$8,最终结果!$E$8),0)</f>
        <v>124</v>
      </c>
      <c r="F919">
        <f ca="1">ROUND(NORMINV(RAND(),最终结果!$I$12,最终结果!$E$12),0)</f>
        <v>121</v>
      </c>
      <c r="G919" t="str">
        <f t="shared" ca="1" si="30"/>
        <v>Away</v>
      </c>
      <c r="H919" t="str">
        <f ca="1">IF(E919+最终结果!$G$8&gt;simulation!F919,"W","L")</f>
        <v>W</v>
      </c>
      <c r="I919" t="str">
        <f ca="1">IF(F919+最终结果!$G$12&gt;simulation!E919,"W","L")</f>
        <v>L</v>
      </c>
      <c r="J919" t="str">
        <f ca="1">IF((E919+F919)&gt;最终结果!$H$8,"Over","Under")</f>
        <v>Over</v>
      </c>
    </row>
    <row r="920" spans="3:10" x14ac:dyDescent="0.25">
      <c r="C920">
        <v>919</v>
      </c>
      <c r="D920" t="str">
        <f t="shared" ca="1" si="29"/>
        <v>1</v>
      </c>
      <c r="E920">
        <f ca="1">ROUND(NORMINV(RAND(),最终结果!$I$8,最终结果!$E$8),0)</f>
        <v>118</v>
      </c>
      <c r="F920">
        <f ca="1">ROUND(NORMINV(RAND(),最终结果!$I$12,最终结果!$E$12),0)</f>
        <v>117</v>
      </c>
      <c r="G920" t="str">
        <f t="shared" ca="1" si="30"/>
        <v>Away</v>
      </c>
      <c r="H920" t="str">
        <f ca="1">IF(E920+最终结果!$G$8&gt;simulation!F920,"W","L")</f>
        <v>W</v>
      </c>
      <c r="I920" t="str">
        <f ca="1">IF(F920+最终结果!$G$12&gt;simulation!E920,"W","L")</f>
        <v>L</v>
      </c>
      <c r="J920" t="str">
        <f ca="1">IF((E920+F920)&gt;最终结果!$H$8,"Over","Under")</f>
        <v>Under</v>
      </c>
    </row>
    <row r="921" spans="3:10" x14ac:dyDescent="0.25">
      <c r="C921">
        <v>920</v>
      </c>
      <c r="D921" t="str">
        <f t="shared" ca="1" si="29"/>
        <v>-1</v>
      </c>
      <c r="E921">
        <f ca="1">ROUND(NORMINV(RAND(),最终结果!$I$8,最终结果!$E$8),0)</f>
        <v>77</v>
      </c>
      <c r="F921">
        <f ca="1">ROUND(NORMINV(RAND(),最终结果!$I$12,最终结果!$E$12),0)</f>
        <v>115</v>
      </c>
      <c r="G921" t="str">
        <f t="shared" ca="1" si="30"/>
        <v>Home</v>
      </c>
      <c r="H921" t="str">
        <f ca="1">IF(E921+最终结果!$G$8&gt;simulation!F921,"W","L")</f>
        <v>L</v>
      </c>
      <c r="I921" t="str">
        <f ca="1">IF(F921+最终结果!$G$12&gt;simulation!E921,"W","L")</f>
        <v>W</v>
      </c>
      <c r="J921" t="str">
        <f ca="1">IF((E921+F921)&gt;最终结果!$H$8,"Over","Under")</f>
        <v>Under</v>
      </c>
    </row>
    <row r="922" spans="3:10" x14ac:dyDescent="0.25">
      <c r="C922">
        <v>921</v>
      </c>
      <c r="D922" t="str">
        <f t="shared" ca="1" si="29"/>
        <v>1</v>
      </c>
      <c r="E922">
        <f ca="1">ROUND(NORMINV(RAND(),最终结果!$I$8,最终结果!$E$8),0)</f>
        <v>122</v>
      </c>
      <c r="F922">
        <f ca="1">ROUND(NORMINV(RAND(),最终结果!$I$12,最终结果!$E$12),0)</f>
        <v>91</v>
      </c>
      <c r="G922" t="str">
        <f t="shared" ca="1" si="30"/>
        <v>Away</v>
      </c>
      <c r="H922" t="str">
        <f ca="1">IF(E922+最终结果!$G$8&gt;simulation!F922,"W","L")</f>
        <v>W</v>
      </c>
      <c r="I922" t="str">
        <f ca="1">IF(F922+最终结果!$G$12&gt;simulation!E922,"W","L")</f>
        <v>L</v>
      </c>
      <c r="J922" t="str">
        <f ca="1">IF((E922+F922)&gt;最终结果!$H$8,"Over","Under")</f>
        <v>Under</v>
      </c>
    </row>
    <row r="923" spans="3:10" x14ac:dyDescent="0.25">
      <c r="C923">
        <v>922</v>
      </c>
      <c r="D923" t="str">
        <f t="shared" ca="1" si="29"/>
        <v>1</v>
      </c>
      <c r="E923">
        <f ca="1">ROUND(NORMINV(RAND(),最终结果!$I$8,最终结果!$E$8),0)</f>
        <v>117</v>
      </c>
      <c r="F923">
        <f ca="1">ROUND(NORMINV(RAND(),最终结果!$I$12,最终结果!$E$12),0)</f>
        <v>98</v>
      </c>
      <c r="G923" t="str">
        <f t="shared" ca="1" si="30"/>
        <v>Away</v>
      </c>
      <c r="H923" t="str">
        <f ca="1">IF(E923+最终结果!$G$8&gt;simulation!F923,"W","L")</f>
        <v>W</v>
      </c>
      <c r="I923" t="str">
        <f ca="1">IF(F923+最终结果!$G$12&gt;simulation!E923,"W","L")</f>
        <v>L</v>
      </c>
      <c r="J923" t="str">
        <f ca="1">IF((E923+F923)&gt;最终结果!$H$8,"Over","Under")</f>
        <v>Under</v>
      </c>
    </row>
    <row r="924" spans="3:10" x14ac:dyDescent="0.25">
      <c r="C924">
        <v>923</v>
      </c>
      <c r="D924" t="str">
        <f t="shared" ca="1" si="29"/>
        <v>1</v>
      </c>
      <c r="E924">
        <f ca="1">ROUND(NORMINV(RAND(),最终结果!$I$8,最终结果!$E$8),0)</f>
        <v>123</v>
      </c>
      <c r="F924">
        <f ca="1">ROUND(NORMINV(RAND(),最终结果!$I$12,最终结果!$E$12),0)</f>
        <v>119</v>
      </c>
      <c r="G924" t="str">
        <f t="shared" ca="1" si="30"/>
        <v>Away</v>
      </c>
      <c r="H924" t="str">
        <f ca="1">IF(E924+最终结果!$G$8&gt;simulation!F924,"W","L")</f>
        <v>W</v>
      </c>
      <c r="I924" t="str">
        <f ca="1">IF(F924+最终结果!$G$12&gt;simulation!E924,"W","L")</f>
        <v>L</v>
      </c>
      <c r="J924" t="str">
        <f ca="1">IF((E924+F924)&gt;最终结果!$H$8,"Over","Under")</f>
        <v>Over</v>
      </c>
    </row>
    <row r="925" spans="3:10" x14ac:dyDescent="0.25">
      <c r="C925">
        <v>924</v>
      </c>
      <c r="D925" t="str">
        <f t="shared" ca="1" si="29"/>
        <v>-1</v>
      </c>
      <c r="E925">
        <f ca="1">ROUND(NORMINV(RAND(),最终结果!$I$8,最终结果!$E$8),0)</f>
        <v>104</v>
      </c>
      <c r="F925">
        <f ca="1">ROUND(NORMINV(RAND(),最终结果!$I$12,最终结果!$E$12),0)</f>
        <v>127</v>
      </c>
      <c r="G925" t="str">
        <f t="shared" ca="1" si="30"/>
        <v>Home</v>
      </c>
      <c r="H925" t="str">
        <f ca="1">IF(E925+最终结果!$G$8&gt;simulation!F925,"W","L")</f>
        <v>L</v>
      </c>
      <c r="I925" t="str">
        <f ca="1">IF(F925+最终结果!$G$12&gt;simulation!E925,"W","L")</f>
        <v>W</v>
      </c>
      <c r="J925" t="str">
        <f ca="1">IF((E925+F925)&gt;最终结果!$H$8,"Over","Under")</f>
        <v>Under</v>
      </c>
    </row>
    <row r="926" spans="3:10" x14ac:dyDescent="0.25">
      <c r="C926">
        <v>925</v>
      </c>
      <c r="D926" t="str">
        <f t="shared" ca="1" si="29"/>
        <v>1</v>
      </c>
      <c r="E926">
        <f ca="1">ROUND(NORMINV(RAND(),最终结果!$I$8,最终结果!$E$8),0)</f>
        <v>134</v>
      </c>
      <c r="F926">
        <f ca="1">ROUND(NORMINV(RAND(),最终结果!$I$12,最终结果!$E$12),0)</f>
        <v>101</v>
      </c>
      <c r="G926" t="str">
        <f t="shared" ca="1" si="30"/>
        <v>Away</v>
      </c>
      <c r="H926" t="str">
        <f ca="1">IF(E926+最终结果!$G$8&gt;simulation!F926,"W","L")</f>
        <v>W</v>
      </c>
      <c r="I926" t="str">
        <f ca="1">IF(F926+最终结果!$G$12&gt;simulation!E926,"W","L")</f>
        <v>L</v>
      </c>
      <c r="J926" t="str">
        <f ca="1">IF((E926+F926)&gt;最终结果!$H$8,"Over","Under")</f>
        <v>Under</v>
      </c>
    </row>
    <row r="927" spans="3:10" x14ac:dyDescent="0.25">
      <c r="C927">
        <v>926</v>
      </c>
      <c r="D927" t="str">
        <f t="shared" ca="1" si="29"/>
        <v>-1</v>
      </c>
      <c r="E927">
        <f ca="1">ROUND(NORMINV(RAND(),最终结果!$I$8,最终结果!$E$8),0)</f>
        <v>116</v>
      </c>
      <c r="F927">
        <f ca="1">ROUND(NORMINV(RAND(),最终结果!$I$12,最终结果!$E$12),0)</f>
        <v>127</v>
      </c>
      <c r="G927" t="str">
        <f t="shared" ca="1" si="30"/>
        <v>Home</v>
      </c>
      <c r="H927" t="str">
        <f ca="1">IF(E927+最终结果!$G$8&gt;simulation!F927,"W","L")</f>
        <v>L</v>
      </c>
      <c r="I927" t="str">
        <f ca="1">IF(F927+最终结果!$G$12&gt;simulation!E927,"W","L")</f>
        <v>W</v>
      </c>
      <c r="J927" t="str">
        <f ca="1">IF((E927+F927)&gt;最终结果!$H$8,"Over","Under")</f>
        <v>Over</v>
      </c>
    </row>
    <row r="928" spans="3:10" x14ac:dyDescent="0.25">
      <c r="C928">
        <v>927</v>
      </c>
      <c r="D928" t="str">
        <f t="shared" ca="1" si="29"/>
        <v>1</v>
      </c>
      <c r="E928">
        <f ca="1">ROUND(NORMINV(RAND(),最终结果!$I$8,最终结果!$E$8),0)</f>
        <v>122</v>
      </c>
      <c r="F928">
        <f ca="1">ROUND(NORMINV(RAND(),最终结果!$I$12,最终结果!$E$12),0)</f>
        <v>110</v>
      </c>
      <c r="G928" t="str">
        <f t="shared" ca="1" si="30"/>
        <v>Away</v>
      </c>
      <c r="H928" t="str">
        <f ca="1">IF(E928+最终结果!$G$8&gt;simulation!F928,"W","L")</f>
        <v>W</v>
      </c>
      <c r="I928" t="str">
        <f ca="1">IF(F928+最终结果!$G$12&gt;simulation!E928,"W","L")</f>
        <v>L</v>
      </c>
      <c r="J928" t="str">
        <f ca="1">IF((E928+F928)&gt;最终结果!$H$8,"Over","Under")</f>
        <v>Under</v>
      </c>
    </row>
    <row r="929" spans="3:10" x14ac:dyDescent="0.25">
      <c r="C929">
        <v>928</v>
      </c>
      <c r="D929" t="str">
        <f t="shared" ca="1" si="29"/>
        <v>-1</v>
      </c>
      <c r="E929">
        <f ca="1">ROUND(NORMINV(RAND(),最终结果!$I$8,最终结果!$E$8),0)</f>
        <v>94</v>
      </c>
      <c r="F929">
        <f ca="1">ROUND(NORMINV(RAND(),最终结果!$I$12,最终结果!$E$12),0)</f>
        <v>126</v>
      </c>
      <c r="G929" t="str">
        <f t="shared" ca="1" si="30"/>
        <v>Home</v>
      </c>
      <c r="H929" t="str">
        <f ca="1">IF(E929+最终结果!$G$8&gt;simulation!F929,"W","L")</f>
        <v>L</v>
      </c>
      <c r="I929" t="str">
        <f ca="1">IF(F929+最终结果!$G$12&gt;simulation!E929,"W","L")</f>
        <v>W</v>
      </c>
      <c r="J929" t="str">
        <f ca="1">IF((E929+F929)&gt;最终结果!$H$8,"Over","Under")</f>
        <v>Under</v>
      </c>
    </row>
    <row r="930" spans="3:10" x14ac:dyDescent="0.25">
      <c r="C930">
        <v>929</v>
      </c>
      <c r="D930" t="str">
        <f t="shared" ca="1" si="29"/>
        <v>-1</v>
      </c>
      <c r="E930">
        <f ca="1">ROUND(NORMINV(RAND(),最终结果!$I$8,最终结果!$E$8),0)</f>
        <v>112</v>
      </c>
      <c r="F930">
        <f ca="1">ROUND(NORMINV(RAND(),最终结果!$I$12,最终结果!$E$12),0)</f>
        <v>131</v>
      </c>
      <c r="G930" t="str">
        <f t="shared" ca="1" si="30"/>
        <v>Home</v>
      </c>
      <c r="H930" t="str">
        <f ca="1">IF(E930+最终结果!$G$8&gt;simulation!F930,"W","L")</f>
        <v>L</v>
      </c>
      <c r="I930" t="str">
        <f ca="1">IF(F930+最终结果!$G$12&gt;simulation!E930,"W","L")</f>
        <v>W</v>
      </c>
      <c r="J930" t="str">
        <f ca="1">IF((E930+F930)&gt;最终结果!$H$8,"Over","Under")</f>
        <v>Over</v>
      </c>
    </row>
    <row r="931" spans="3:10" x14ac:dyDescent="0.25">
      <c r="C931">
        <v>930</v>
      </c>
      <c r="D931" t="str">
        <f t="shared" ca="1" si="29"/>
        <v>1</v>
      </c>
      <c r="E931">
        <f ca="1">ROUND(NORMINV(RAND(),最终结果!$I$8,最终结果!$E$8),0)</f>
        <v>131</v>
      </c>
      <c r="F931">
        <f ca="1">ROUND(NORMINV(RAND(),最终结果!$I$12,最终结果!$E$12),0)</f>
        <v>130</v>
      </c>
      <c r="G931" t="str">
        <f t="shared" ca="1" si="30"/>
        <v>Away</v>
      </c>
      <c r="H931" t="str">
        <f ca="1">IF(E931+最终结果!$G$8&gt;simulation!F931,"W","L")</f>
        <v>W</v>
      </c>
      <c r="I931" t="str">
        <f ca="1">IF(F931+最终结果!$G$12&gt;simulation!E931,"W","L")</f>
        <v>L</v>
      </c>
      <c r="J931" t="str">
        <f ca="1">IF((E931+F931)&gt;最终结果!$H$8,"Over","Under")</f>
        <v>Over</v>
      </c>
    </row>
    <row r="932" spans="3:10" x14ac:dyDescent="0.25">
      <c r="C932">
        <v>931</v>
      </c>
      <c r="D932" t="str">
        <f t="shared" ca="1" si="29"/>
        <v>-1</v>
      </c>
      <c r="E932">
        <f ca="1">ROUND(NORMINV(RAND(),最终结果!$I$8,最终结果!$E$8),0)</f>
        <v>126</v>
      </c>
      <c r="F932">
        <f ca="1">ROUND(NORMINV(RAND(),最终结果!$I$12,最终结果!$E$12),0)</f>
        <v>152</v>
      </c>
      <c r="G932" t="str">
        <f t="shared" ca="1" si="30"/>
        <v>Home</v>
      </c>
      <c r="H932" t="str">
        <f ca="1">IF(E932+最终结果!$G$8&gt;simulation!F932,"W","L")</f>
        <v>L</v>
      </c>
      <c r="I932" t="str">
        <f ca="1">IF(F932+最终结果!$G$12&gt;simulation!E932,"W","L")</f>
        <v>W</v>
      </c>
      <c r="J932" t="str">
        <f ca="1">IF((E932+F932)&gt;最终结果!$H$8,"Over","Under")</f>
        <v>Over</v>
      </c>
    </row>
    <row r="933" spans="3:10" x14ac:dyDescent="0.25">
      <c r="C933">
        <v>932</v>
      </c>
      <c r="D933" t="str">
        <f t="shared" ca="1" si="29"/>
        <v>1</v>
      </c>
      <c r="E933">
        <f ca="1">ROUND(NORMINV(RAND(),最终结果!$I$8,最终结果!$E$8),0)</f>
        <v>114</v>
      </c>
      <c r="F933">
        <f ca="1">ROUND(NORMINV(RAND(),最终结果!$I$12,最终结果!$E$12),0)</f>
        <v>102</v>
      </c>
      <c r="G933" t="str">
        <f t="shared" ca="1" si="30"/>
        <v>Away</v>
      </c>
      <c r="H933" t="str">
        <f ca="1">IF(E933+最终结果!$G$8&gt;simulation!F933,"W","L")</f>
        <v>W</v>
      </c>
      <c r="I933" t="str">
        <f ca="1">IF(F933+最终结果!$G$12&gt;simulation!E933,"W","L")</f>
        <v>L</v>
      </c>
      <c r="J933" t="str">
        <f ca="1">IF((E933+F933)&gt;最终结果!$H$8,"Over","Under")</f>
        <v>Under</v>
      </c>
    </row>
    <row r="934" spans="3:10" x14ac:dyDescent="0.25">
      <c r="C934">
        <v>933</v>
      </c>
      <c r="D934" t="str">
        <f t="shared" ca="1" si="29"/>
        <v>-1</v>
      </c>
      <c r="E934">
        <f ca="1">ROUND(NORMINV(RAND(),最终结果!$I$8,最终结果!$E$8),0)</f>
        <v>103</v>
      </c>
      <c r="F934">
        <f ca="1">ROUND(NORMINV(RAND(),最终结果!$I$12,最终结果!$E$12),0)</f>
        <v>126</v>
      </c>
      <c r="G934" t="str">
        <f t="shared" ca="1" si="30"/>
        <v>Home</v>
      </c>
      <c r="H934" t="str">
        <f ca="1">IF(E934+最终结果!$G$8&gt;simulation!F934,"W","L")</f>
        <v>L</v>
      </c>
      <c r="I934" t="str">
        <f ca="1">IF(F934+最终结果!$G$12&gt;simulation!E934,"W","L")</f>
        <v>W</v>
      </c>
      <c r="J934" t="str">
        <f ca="1">IF((E934+F934)&gt;最终结果!$H$8,"Over","Under")</f>
        <v>Under</v>
      </c>
    </row>
    <row r="935" spans="3:10" x14ac:dyDescent="0.25">
      <c r="C935">
        <v>934</v>
      </c>
      <c r="D935" t="str">
        <f t="shared" ca="1" si="29"/>
        <v>1</v>
      </c>
      <c r="E935">
        <f ca="1">ROUND(NORMINV(RAND(),最终结果!$I$8,最终结果!$E$8),0)</f>
        <v>113</v>
      </c>
      <c r="F935">
        <f ca="1">ROUND(NORMINV(RAND(),最终结果!$I$12,最终结果!$E$12),0)</f>
        <v>102</v>
      </c>
      <c r="G935" t="str">
        <f t="shared" ca="1" si="30"/>
        <v>Away</v>
      </c>
      <c r="H935" t="str">
        <f ca="1">IF(E935+最终结果!$G$8&gt;simulation!F935,"W","L")</f>
        <v>W</v>
      </c>
      <c r="I935" t="str">
        <f ca="1">IF(F935+最终结果!$G$12&gt;simulation!E935,"W","L")</f>
        <v>L</v>
      </c>
      <c r="J935" t="str">
        <f ca="1">IF((E935+F935)&gt;最终结果!$H$8,"Over","Under")</f>
        <v>Under</v>
      </c>
    </row>
    <row r="936" spans="3:10" x14ac:dyDescent="0.25">
      <c r="C936">
        <v>935</v>
      </c>
      <c r="D936" t="str">
        <f t="shared" ca="1" si="29"/>
        <v>-1</v>
      </c>
      <c r="E936">
        <f ca="1">ROUND(NORMINV(RAND(),最终结果!$I$8,最终结果!$E$8),0)</f>
        <v>113</v>
      </c>
      <c r="F936">
        <f ca="1">ROUND(NORMINV(RAND(),最终结果!$I$12,最终结果!$E$12),0)</f>
        <v>118</v>
      </c>
      <c r="G936" t="str">
        <f t="shared" ca="1" si="30"/>
        <v>Home</v>
      </c>
      <c r="H936" t="str">
        <f ca="1">IF(E936+最终结果!$G$8&gt;simulation!F936,"W","L")</f>
        <v>L</v>
      </c>
      <c r="I936" t="str">
        <f ca="1">IF(F936+最终结果!$G$12&gt;simulation!E936,"W","L")</f>
        <v>W</v>
      </c>
      <c r="J936" t="str">
        <f ca="1">IF((E936+F936)&gt;最终结果!$H$8,"Over","Under")</f>
        <v>Under</v>
      </c>
    </row>
    <row r="937" spans="3:10" x14ac:dyDescent="0.25">
      <c r="C937">
        <v>936</v>
      </c>
      <c r="D937" t="str">
        <f t="shared" ca="1" si="29"/>
        <v>-1</v>
      </c>
      <c r="E937">
        <f ca="1">ROUND(NORMINV(RAND(),最终结果!$I$8,最终结果!$E$8),0)</f>
        <v>109</v>
      </c>
      <c r="F937">
        <f ca="1">ROUND(NORMINV(RAND(),最终结果!$I$12,最终结果!$E$12),0)</f>
        <v>123</v>
      </c>
      <c r="G937" t="str">
        <f t="shared" ca="1" si="30"/>
        <v>Home</v>
      </c>
      <c r="H937" t="str">
        <f ca="1">IF(E937+最终结果!$G$8&gt;simulation!F937,"W","L")</f>
        <v>L</v>
      </c>
      <c r="I937" t="str">
        <f ca="1">IF(F937+最终结果!$G$12&gt;simulation!E937,"W","L")</f>
        <v>W</v>
      </c>
      <c r="J937" t="str">
        <f ca="1">IF((E937+F937)&gt;最终结果!$H$8,"Over","Under")</f>
        <v>Under</v>
      </c>
    </row>
    <row r="938" spans="3:10" x14ac:dyDescent="0.25">
      <c r="C938">
        <v>937</v>
      </c>
      <c r="D938" t="str">
        <f t="shared" ca="1" si="29"/>
        <v>1</v>
      </c>
      <c r="E938">
        <f ca="1">ROUND(NORMINV(RAND(),最终结果!$I$8,最终结果!$E$8),0)</f>
        <v>126</v>
      </c>
      <c r="F938">
        <f ca="1">ROUND(NORMINV(RAND(),最终结果!$I$12,最终结果!$E$12),0)</f>
        <v>112</v>
      </c>
      <c r="G938" t="str">
        <f t="shared" ca="1" si="30"/>
        <v>Away</v>
      </c>
      <c r="H938" t="str">
        <f ca="1">IF(E938+最终结果!$G$8&gt;simulation!F938,"W","L")</f>
        <v>W</v>
      </c>
      <c r="I938" t="str">
        <f ca="1">IF(F938+最终结果!$G$12&gt;simulation!E938,"W","L")</f>
        <v>L</v>
      </c>
      <c r="J938" t="str">
        <f ca="1">IF((E938+F938)&gt;最终结果!$H$8,"Over","Under")</f>
        <v>Over</v>
      </c>
    </row>
    <row r="939" spans="3:10" x14ac:dyDescent="0.25">
      <c r="C939">
        <v>938</v>
      </c>
      <c r="D939" t="str">
        <f t="shared" ca="1" si="29"/>
        <v>-1</v>
      </c>
      <c r="E939">
        <f ca="1">ROUND(NORMINV(RAND(),最终结果!$I$8,最终结果!$E$8),0)</f>
        <v>110</v>
      </c>
      <c r="F939">
        <f ca="1">ROUND(NORMINV(RAND(),最终结果!$I$12,最终结果!$E$12),0)</f>
        <v>118</v>
      </c>
      <c r="G939" t="str">
        <f t="shared" ca="1" si="30"/>
        <v>Home</v>
      </c>
      <c r="H939" t="str">
        <f ca="1">IF(E939+最终结果!$G$8&gt;simulation!F939,"W","L")</f>
        <v>L</v>
      </c>
      <c r="I939" t="str">
        <f ca="1">IF(F939+最终结果!$G$12&gt;simulation!E939,"W","L")</f>
        <v>W</v>
      </c>
      <c r="J939" t="str">
        <f ca="1">IF((E939+F939)&gt;最终结果!$H$8,"Over","Under")</f>
        <v>Under</v>
      </c>
    </row>
    <row r="940" spans="3:10" x14ac:dyDescent="0.25">
      <c r="C940">
        <v>939</v>
      </c>
      <c r="D940" t="str">
        <f t="shared" ca="1" si="29"/>
        <v>-1</v>
      </c>
      <c r="E940">
        <f ca="1">ROUND(NORMINV(RAND(),最终结果!$I$8,最终结果!$E$8),0)</f>
        <v>116</v>
      </c>
      <c r="F940">
        <f ca="1">ROUND(NORMINV(RAND(),最终结果!$I$12,最终结果!$E$12),0)</f>
        <v>125</v>
      </c>
      <c r="G940" t="str">
        <f t="shared" ca="1" si="30"/>
        <v>Home</v>
      </c>
      <c r="H940" t="str">
        <f ca="1">IF(E940+最终结果!$G$8&gt;simulation!F940,"W","L")</f>
        <v>L</v>
      </c>
      <c r="I940" t="str">
        <f ca="1">IF(F940+最终结果!$G$12&gt;simulation!E940,"W","L")</f>
        <v>W</v>
      </c>
      <c r="J940" t="str">
        <f ca="1">IF((E940+F940)&gt;最终结果!$H$8,"Over","Under")</f>
        <v>Over</v>
      </c>
    </row>
    <row r="941" spans="3:10" x14ac:dyDescent="0.25">
      <c r="C941">
        <v>940</v>
      </c>
      <c r="D941" t="str">
        <f t="shared" ca="1" si="29"/>
        <v>1</v>
      </c>
      <c r="E941">
        <f ca="1">ROUND(NORMINV(RAND(),最终结果!$I$8,最终结果!$E$8),0)</f>
        <v>113</v>
      </c>
      <c r="F941">
        <f ca="1">ROUND(NORMINV(RAND(),最终结果!$I$12,最终结果!$E$12),0)</f>
        <v>94</v>
      </c>
      <c r="G941" t="str">
        <f t="shared" ca="1" si="30"/>
        <v>Away</v>
      </c>
      <c r="H941" t="str">
        <f ca="1">IF(E941+最终结果!$G$8&gt;simulation!F941,"W","L")</f>
        <v>W</v>
      </c>
      <c r="I941" t="str">
        <f ca="1">IF(F941+最终结果!$G$12&gt;simulation!E941,"W","L")</f>
        <v>L</v>
      </c>
      <c r="J941" t="str">
        <f ca="1">IF((E941+F941)&gt;最终结果!$H$8,"Over","Under")</f>
        <v>Under</v>
      </c>
    </row>
    <row r="942" spans="3:10" x14ac:dyDescent="0.25">
      <c r="C942">
        <v>941</v>
      </c>
      <c r="D942" t="str">
        <f t="shared" ca="1" si="29"/>
        <v>1</v>
      </c>
      <c r="E942">
        <f ca="1">ROUND(NORMINV(RAND(),最终结果!$I$8,最终结果!$E$8),0)</f>
        <v>111</v>
      </c>
      <c r="F942">
        <f ca="1">ROUND(NORMINV(RAND(),最终结果!$I$12,最终结果!$E$12),0)</f>
        <v>102</v>
      </c>
      <c r="G942" t="str">
        <f t="shared" ca="1" si="30"/>
        <v>Away</v>
      </c>
      <c r="H942" t="str">
        <f ca="1">IF(E942+最终结果!$G$8&gt;simulation!F942,"W","L")</f>
        <v>W</v>
      </c>
      <c r="I942" t="str">
        <f ca="1">IF(F942+最终结果!$G$12&gt;simulation!E942,"W","L")</f>
        <v>L</v>
      </c>
      <c r="J942" t="str">
        <f ca="1">IF((E942+F942)&gt;最终结果!$H$8,"Over","Under")</f>
        <v>Under</v>
      </c>
    </row>
    <row r="943" spans="3:10" x14ac:dyDescent="0.25">
      <c r="C943">
        <v>942</v>
      </c>
      <c r="D943" t="str">
        <f t="shared" ca="1" si="29"/>
        <v>1</v>
      </c>
      <c r="E943">
        <f ca="1">ROUND(NORMINV(RAND(),最终结果!$I$8,最终结果!$E$8),0)</f>
        <v>109</v>
      </c>
      <c r="F943">
        <f ca="1">ROUND(NORMINV(RAND(),最终结果!$I$12,最终结果!$E$12),0)</f>
        <v>103</v>
      </c>
      <c r="G943" t="str">
        <f t="shared" ca="1" si="30"/>
        <v>Away</v>
      </c>
      <c r="H943" t="str">
        <f ca="1">IF(E943+最终结果!$G$8&gt;simulation!F943,"W","L")</f>
        <v>W</v>
      </c>
      <c r="I943" t="str">
        <f ca="1">IF(F943+最终结果!$G$12&gt;simulation!E943,"W","L")</f>
        <v>L</v>
      </c>
      <c r="J943" t="str">
        <f ca="1">IF((E943+F943)&gt;最终结果!$H$8,"Over","Under")</f>
        <v>Under</v>
      </c>
    </row>
    <row r="944" spans="3:10" x14ac:dyDescent="0.25">
      <c r="C944">
        <v>943</v>
      </c>
      <c r="D944" t="str">
        <f t="shared" ca="1" si="29"/>
        <v>1</v>
      </c>
      <c r="E944">
        <f ca="1">ROUND(NORMINV(RAND(),最终结果!$I$8,最终结果!$E$8),0)</f>
        <v>99</v>
      </c>
      <c r="F944">
        <f ca="1">ROUND(NORMINV(RAND(),最终结果!$I$12,最终结果!$E$12),0)</f>
        <v>86</v>
      </c>
      <c r="G944" t="str">
        <f t="shared" ca="1" si="30"/>
        <v>Away</v>
      </c>
      <c r="H944" t="str">
        <f ca="1">IF(E944+最终结果!$G$8&gt;simulation!F944,"W","L")</f>
        <v>W</v>
      </c>
      <c r="I944" t="str">
        <f ca="1">IF(F944+最终结果!$G$12&gt;simulation!E944,"W","L")</f>
        <v>L</v>
      </c>
      <c r="J944" t="str">
        <f ca="1">IF((E944+F944)&gt;最终结果!$H$8,"Over","Under")</f>
        <v>Under</v>
      </c>
    </row>
    <row r="945" spans="3:10" x14ac:dyDescent="0.25">
      <c r="C945">
        <v>944</v>
      </c>
      <c r="D945" t="str">
        <f t="shared" ca="1" si="29"/>
        <v>1</v>
      </c>
      <c r="E945">
        <f ca="1">ROUND(NORMINV(RAND(),最终结果!$I$8,最终结果!$E$8),0)</f>
        <v>130</v>
      </c>
      <c r="F945">
        <f ca="1">ROUND(NORMINV(RAND(),最终结果!$I$12,最终结果!$E$12),0)</f>
        <v>85</v>
      </c>
      <c r="G945" t="str">
        <f t="shared" ca="1" si="30"/>
        <v>Away</v>
      </c>
      <c r="H945" t="str">
        <f ca="1">IF(E945+最终结果!$G$8&gt;simulation!F945,"W","L")</f>
        <v>W</v>
      </c>
      <c r="I945" t="str">
        <f ca="1">IF(F945+最终结果!$G$12&gt;simulation!E945,"W","L")</f>
        <v>L</v>
      </c>
      <c r="J945" t="str">
        <f ca="1">IF((E945+F945)&gt;最终结果!$H$8,"Over","Under")</f>
        <v>Under</v>
      </c>
    </row>
    <row r="946" spans="3:10" x14ac:dyDescent="0.25">
      <c r="C946">
        <v>945</v>
      </c>
      <c r="D946" t="str">
        <f t="shared" ca="1" si="29"/>
        <v>-1</v>
      </c>
      <c r="E946">
        <f ca="1">ROUND(NORMINV(RAND(),最终结果!$I$8,最终结果!$E$8),0)</f>
        <v>102</v>
      </c>
      <c r="F946">
        <f ca="1">ROUND(NORMINV(RAND(),最终结果!$I$12,最终结果!$E$12),0)</f>
        <v>121</v>
      </c>
      <c r="G946" t="str">
        <f t="shared" ca="1" si="30"/>
        <v>Home</v>
      </c>
      <c r="H946" t="str">
        <f ca="1">IF(E946+最终结果!$G$8&gt;simulation!F946,"W","L")</f>
        <v>L</v>
      </c>
      <c r="I946" t="str">
        <f ca="1">IF(F946+最终结果!$G$12&gt;simulation!E946,"W","L")</f>
        <v>W</v>
      </c>
      <c r="J946" t="str">
        <f ca="1">IF((E946+F946)&gt;最终结果!$H$8,"Over","Under")</f>
        <v>Under</v>
      </c>
    </row>
    <row r="947" spans="3:10" x14ac:dyDescent="0.25">
      <c r="C947">
        <v>946</v>
      </c>
      <c r="D947" t="str">
        <f t="shared" ca="1" si="29"/>
        <v>1</v>
      </c>
      <c r="E947">
        <f ca="1">ROUND(NORMINV(RAND(),最终结果!$I$8,最终结果!$E$8),0)</f>
        <v>119</v>
      </c>
      <c r="F947">
        <f ca="1">ROUND(NORMINV(RAND(),最终结果!$I$12,最终结果!$E$12),0)</f>
        <v>117</v>
      </c>
      <c r="G947" t="str">
        <f t="shared" ca="1" si="30"/>
        <v>Away</v>
      </c>
      <c r="H947" t="str">
        <f ca="1">IF(E947+最终结果!$G$8&gt;simulation!F947,"W","L")</f>
        <v>W</v>
      </c>
      <c r="I947" t="str">
        <f ca="1">IF(F947+最终结果!$G$12&gt;simulation!E947,"W","L")</f>
        <v>L</v>
      </c>
      <c r="J947" t="str">
        <f ca="1">IF((E947+F947)&gt;最终结果!$H$8,"Over","Under")</f>
        <v>Under</v>
      </c>
    </row>
    <row r="948" spans="3:10" x14ac:dyDescent="0.25">
      <c r="C948">
        <v>947</v>
      </c>
      <c r="D948" t="str">
        <f t="shared" ca="1" si="29"/>
        <v>-1</v>
      </c>
      <c r="E948">
        <f ca="1">ROUND(NORMINV(RAND(),最终结果!$I$8,最终结果!$E$8),0)</f>
        <v>108</v>
      </c>
      <c r="F948">
        <f ca="1">ROUND(NORMINV(RAND(),最终结果!$I$12,最终结果!$E$12),0)</f>
        <v>118</v>
      </c>
      <c r="G948" t="str">
        <f t="shared" ca="1" si="30"/>
        <v>Home</v>
      </c>
      <c r="H948" t="str">
        <f ca="1">IF(E948+最终结果!$G$8&gt;simulation!F948,"W","L")</f>
        <v>L</v>
      </c>
      <c r="I948" t="str">
        <f ca="1">IF(F948+最终结果!$G$12&gt;simulation!E948,"W","L")</f>
        <v>W</v>
      </c>
      <c r="J948" t="str">
        <f ca="1">IF((E948+F948)&gt;最终结果!$H$8,"Over","Under")</f>
        <v>Under</v>
      </c>
    </row>
    <row r="949" spans="3:10" x14ac:dyDescent="0.25">
      <c r="C949">
        <v>948</v>
      </c>
      <c r="D949" t="str">
        <f t="shared" ca="1" si="29"/>
        <v>-1</v>
      </c>
      <c r="E949">
        <f ca="1">ROUND(NORMINV(RAND(),最终结果!$I$8,最终结果!$E$8),0)</f>
        <v>113</v>
      </c>
      <c r="F949">
        <f ca="1">ROUND(NORMINV(RAND(),最终结果!$I$12,最终结果!$E$12),0)</f>
        <v>122</v>
      </c>
      <c r="G949" t="str">
        <f t="shared" ca="1" si="30"/>
        <v>Home</v>
      </c>
      <c r="H949" t="str">
        <f ca="1">IF(E949+最终结果!$G$8&gt;simulation!F949,"W","L")</f>
        <v>L</v>
      </c>
      <c r="I949" t="str">
        <f ca="1">IF(F949+最终结果!$G$12&gt;simulation!E949,"W","L")</f>
        <v>W</v>
      </c>
      <c r="J949" t="str">
        <f ca="1">IF((E949+F949)&gt;最终结果!$H$8,"Over","Under")</f>
        <v>Under</v>
      </c>
    </row>
    <row r="950" spans="3:10" x14ac:dyDescent="0.25">
      <c r="C950">
        <v>949</v>
      </c>
      <c r="D950" t="str">
        <f t="shared" ca="1" si="29"/>
        <v>1</v>
      </c>
      <c r="E950">
        <f ca="1">ROUND(NORMINV(RAND(),最终结果!$I$8,最终结果!$E$8),0)</f>
        <v>119</v>
      </c>
      <c r="F950">
        <f ca="1">ROUND(NORMINV(RAND(),最终结果!$I$12,最终结果!$E$12),0)</f>
        <v>110</v>
      </c>
      <c r="G950" t="str">
        <f t="shared" ca="1" si="30"/>
        <v>Away</v>
      </c>
      <c r="H950" t="str">
        <f ca="1">IF(E950+最终结果!$G$8&gt;simulation!F950,"W","L")</f>
        <v>W</v>
      </c>
      <c r="I950" t="str">
        <f ca="1">IF(F950+最终结果!$G$12&gt;simulation!E950,"W","L")</f>
        <v>L</v>
      </c>
      <c r="J950" t="str">
        <f ca="1">IF((E950+F950)&gt;最终结果!$H$8,"Over","Under")</f>
        <v>Under</v>
      </c>
    </row>
    <row r="951" spans="3:10" x14ac:dyDescent="0.25">
      <c r="C951">
        <v>950</v>
      </c>
      <c r="D951" t="str">
        <f t="shared" ca="1" si="29"/>
        <v>-1</v>
      </c>
      <c r="E951">
        <f ca="1">ROUND(NORMINV(RAND(),最终结果!$I$8,最终结果!$E$8),0)</f>
        <v>114</v>
      </c>
      <c r="F951">
        <f ca="1">ROUND(NORMINV(RAND(),最终结果!$I$12,最终结果!$E$12),0)</f>
        <v>126</v>
      </c>
      <c r="G951" t="str">
        <f t="shared" ca="1" si="30"/>
        <v>Home</v>
      </c>
      <c r="H951" t="str">
        <f ca="1">IF(E951+最终结果!$G$8&gt;simulation!F951,"W","L")</f>
        <v>L</v>
      </c>
      <c r="I951" t="str">
        <f ca="1">IF(F951+最终结果!$G$12&gt;simulation!E951,"W","L")</f>
        <v>W</v>
      </c>
      <c r="J951" t="str">
        <f ca="1">IF((E951+F951)&gt;最终结果!$H$8,"Over","Under")</f>
        <v>Over</v>
      </c>
    </row>
    <row r="952" spans="3:10" x14ac:dyDescent="0.25">
      <c r="C952">
        <v>951</v>
      </c>
      <c r="D952" t="str">
        <f t="shared" ca="1" si="29"/>
        <v>1</v>
      </c>
      <c r="E952">
        <f ca="1">ROUND(NORMINV(RAND(),最终结果!$I$8,最终结果!$E$8),0)</f>
        <v>127</v>
      </c>
      <c r="F952">
        <f ca="1">ROUND(NORMINV(RAND(),最终结果!$I$12,最终结果!$E$12),0)</f>
        <v>95</v>
      </c>
      <c r="G952" t="str">
        <f t="shared" ca="1" si="30"/>
        <v>Away</v>
      </c>
      <c r="H952" t="str">
        <f ca="1">IF(E952+最终结果!$G$8&gt;simulation!F952,"W","L")</f>
        <v>W</v>
      </c>
      <c r="I952" t="str">
        <f ca="1">IF(F952+最终结果!$G$12&gt;simulation!E952,"W","L")</f>
        <v>L</v>
      </c>
      <c r="J952" t="str">
        <f ca="1">IF((E952+F952)&gt;最终结果!$H$8,"Over","Under")</f>
        <v>Under</v>
      </c>
    </row>
    <row r="953" spans="3:10" x14ac:dyDescent="0.25">
      <c r="C953">
        <v>952</v>
      </c>
      <c r="D953" t="str">
        <f t="shared" ca="1" si="29"/>
        <v>-1</v>
      </c>
      <c r="E953">
        <f ca="1">ROUND(NORMINV(RAND(),最终结果!$I$8,最终结果!$E$8),0)</f>
        <v>113</v>
      </c>
      <c r="F953">
        <f ca="1">ROUND(NORMINV(RAND(),最终结果!$I$12,最终结果!$E$12),0)</f>
        <v>122</v>
      </c>
      <c r="G953" t="str">
        <f t="shared" ca="1" si="30"/>
        <v>Home</v>
      </c>
      <c r="H953" t="str">
        <f ca="1">IF(E953+最终结果!$G$8&gt;simulation!F953,"W","L")</f>
        <v>L</v>
      </c>
      <c r="I953" t="str">
        <f ca="1">IF(F953+最终结果!$G$12&gt;simulation!E953,"W","L")</f>
        <v>W</v>
      </c>
      <c r="J953" t="str">
        <f ca="1">IF((E953+F953)&gt;最终结果!$H$8,"Over","Under")</f>
        <v>Under</v>
      </c>
    </row>
    <row r="954" spans="3:10" x14ac:dyDescent="0.25">
      <c r="C954">
        <v>953</v>
      </c>
      <c r="D954" t="str">
        <f t="shared" ca="1" si="29"/>
        <v>-1</v>
      </c>
      <c r="E954">
        <f ca="1">ROUND(NORMINV(RAND(),最终结果!$I$8,最终结果!$E$8),0)</f>
        <v>94</v>
      </c>
      <c r="F954">
        <f ca="1">ROUND(NORMINV(RAND(),最终结果!$I$12,最终结果!$E$12),0)</f>
        <v>123</v>
      </c>
      <c r="G954" t="str">
        <f t="shared" ca="1" si="30"/>
        <v>Home</v>
      </c>
      <c r="H954" t="str">
        <f ca="1">IF(E954+最终结果!$G$8&gt;simulation!F954,"W","L")</f>
        <v>L</v>
      </c>
      <c r="I954" t="str">
        <f ca="1">IF(F954+最终结果!$G$12&gt;simulation!E954,"W","L")</f>
        <v>W</v>
      </c>
      <c r="J954" t="str">
        <f ca="1">IF((E954+F954)&gt;最终结果!$H$8,"Over","Under")</f>
        <v>Under</v>
      </c>
    </row>
    <row r="955" spans="3:10" x14ac:dyDescent="0.25">
      <c r="C955">
        <v>954</v>
      </c>
      <c r="D955" t="str">
        <f t="shared" ca="1" si="29"/>
        <v>-1</v>
      </c>
      <c r="E955">
        <f ca="1">ROUND(NORMINV(RAND(),最终结果!$I$8,最终结果!$E$8),0)</f>
        <v>103</v>
      </c>
      <c r="F955">
        <f ca="1">ROUND(NORMINV(RAND(),最终结果!$I$12,最终结果!$E$12),0)</f>
        <v>125</v>
      </c>
      <c r="G955" t="str">
        <f t="shared" ca="1" si="30"/>
        <v>Home</v>
      </c>
      <c r="H955" t="str">
        <f ca="1">IF(E955+最终结果!$G$8&gt;simulation!F955,"W","L")</f>
        <v>L</v>
      </c>
      <c r="I955" t="str">
        <f ca="1">IF(F955+最终结果!$G$12&gt;simulation!E955,"W","L")</f>
        <v>W</v>
      </c>
      <c r="J955" t="str">
        <f ca="1">IF((E955+F955)&gt;最终结果!$H$8,"Over","Under")</f>
        <v>Under</v>
      </c>
    </row>
    <row r="956" spans="3:10" x14ac:dyDescent="0.25">
      <c r="C956">
        <v>955</v>
      </c>
      <c r="D956" t="str">
        <f t="shared" ca="1" si="29"/>
        <v>-1</v>
      </c>
      <c r="E956">
        <f ca="1">ROUND(NORMINV(RAND(),最终结果!$I$8,最终结果!$E$8),0)</f>
        <v>124</v>
      </c>
      <c r="F956">
        <f ca="1">ROUND(NORMINV(RAND(),最终结果!$I$12,最终结果!$E$12),0)</f>
        <v>134</v>
      </c>
      <c r="G956" t="str">
        <f t="shared" ca="1" si="30"/>
        <v>Home</v>
      </c>
      <c r="H956" t="str">
        <f ca="1">IF(E956+最终结果!$G$8&gt;simulation!F956,"W","L")</f>
        <v>L</v>
      </c>
      <c r="I956" t="str">
        <f ca="1">IF(F956+最终结果!$G$12&gt;simulation!E956,"W","L")</f>
        <v>W</v>
      </c>
      <c r="J956" t="str">
        <f ca="1">IF((E956+F956)&gt;最终结果!$H$8,"Over","Under")</f>
        <v>Over</v>
      </c>
    </row>
    <row r="957" spans="3:10" x14ac:dyDescent="0.25">
      <c r="C957">
        <v>956</v>
      </c>
      <c r="D957" t="str">
        <f t="shared" ca="1" si="29"/>
        <v>-1</v>
      </c>
      <c r="E957">
        <f ca="1">ROUND(NORMINV(RAND(),最终结果!$I$8,最终结果!$E$8),0)</f>
        <v>121</v>
      </c>
      <c r="F957">
        <f ca="1">ROUND(NORMINV(RAND(),最终结果!$I$12,最终结果!$E$12),0)</f>
        <v>122</v>
      </c>
      <c r="G957" t="str">
        <f t="shared" ca="1" si="30"/>
        <v>Home</v>
      </c>
      <c r="H957" t="str">
        <f ca="1">IF(E957+最终结果!$G$8&gt;simulation!F957,"W","L")</f>
        <v>W</v>
      </c>
      <c r="I957" t="str">
        <f ca="1">IF(F957+最终结果!$G$12&gt;simulation!E957,"W","L")</f>
        <v>L</v>
      </c>
      <c r="J957" t="str">
        <f ca="1">IF((E957+F957)&gt;最终结果!$H$8,"Over","Under")</f>
        <v>Over</v>
      </c>
    </row>
    <row r="958" spans="3:10" x14ac:dyDescent="0.25">
      <c r="C958">
        <v>957</v>
      </c>
      <c r="D958">
        <f t="shared" ca="1" si="29"/>
        <v>0</v>
      </c>
      <c r="E958">
        <f ca="1">ROUND(NORMINV(RAND(),最终结果!$I$8,最终结果!$E$8),0)</f>
        <v>105</v>
      </c>
      <c r="F958">
        <f ca="1">ROUND(NORMINV(RAND(),最终结果!$I$12,最终结果!$E$12),0)</f>
        <v>105</v>
      </c>
      <c r="G958" t="str">
        <f t="shared" ca="1" si="30"/>
        <v>OT</v>
      </c>
      <c r="H958" t="str">
        <f ca="1">IF(E958+最终结果!$G$8&gt;simulation!F958,"W","L")</f>
        <v>W</v>
      </c>
      <c r="I958" t="str">
        <f ca="1">IF(F958+最终结果!$G$12&gt;simulation!E958,"W","L")</f>
        <v>L</v>
      </c>
      <c r="J958" t="str">
        <f ca="1">IF((E958+F958)&gt;最终结果!$H$8,"Over","Under")</f>
        <v>Under</v>
      </c>
    </row>
    <row r="959" spans="3:10" x14ac:dyDescent="0.25">
      <c r="C959">
        <v>958</v>
      </c>
      <c r="D959" t="str">
        <f t="shared" ca="1" si="29"/>
        <v>-1</v>
      </c>
      <c r="E959">
        <f ca="1">ROUND(NORMINV(RAND(),最终结果!$I$8,最终结果!$E$8),0)</f>
        <v>101</v>
      </c>
      <c r="F959">
        <f ca="1">ROUND(NORMINV(RAND(),最终结果!$I$12,最终结果!$E$12),0)</f>
        <v>133</v>
      </c>
      <c r="G959" t="str">
        <f t="shared" ca="1" si="30"/>
        <v>Home</v>
      </c>
      <c r="H959" t="str">
        <f ca="1">IF(E959+最终结果!$G$8&gt;simulation!F959,"W","L")</f>
        <v>L</v>
      </c>
      <c r="I959" t="str">
        <f ca="1">IF(F959+最终结果!$G$12&gt;simulation!E959,"W","L")</f>
        <v>W</v>
      </c>
      <c r="J959" t="str">
        <f ca="1">IF((E959+F959)&gt;最终结果!$H$8,"Over","Under")</f>
        <v>Under</v>
      </c>
    </row>
    <row r="960" spans="3:10" x14ac:dyDescent="0.25">
      <c r="C960">
        <v>959</v>
      </c>
      <c r="D960" t="str">
        <f t="shared" ca="1" si="29"/>
        <v>-1</v>
      </c>
      <c r="E960">
        <f ca="1">ROUND(NORMINV(RAND(),最终结果!$I$8,最终结果!$E$8),0)</f>
        <v>118</v>
      </c>
      <c r="F960">
        <f ca="1">ROUND(NORMINV(RAND(),最终结果!$I$12,最终结果!$E$12),0)</f>
        <v>122</v>
      </c>
      <c r="G960" t="str">
        <f t="shared" ca="1" si="30"/>
        <v>Home</v>
      </c>
      <c r="H960" t="str">
        <f ca="1">IF(E960+最终结果!$G$8&gt;simulation!F960,"W","L")</f>
        <v>L</v>
      </c>
      <c r="I960" t="str">
        <f ca="1">IF(F960+最终结果!$G$12&gt;simulation!E960,"W","L")</f>
        <v>W</v>
      </c>
      <c r="J960" t="str">
        <f ca="1">IF((E960+F960)&gt;最终结果!$H$8,"Over","Under")</f>
        <v>Over</v>
      </c>
    </row>
    <row r="961" spans="3:10" x14ac:dyDescent="0.25">
      <c r="C961">
        <v>960</v>
      </c>
      <c r="D961" t="str">
        <f t="shared" ca="1" si="29"/>
        <v>1</v>
      </c>
      <c r="E961">
        <f ca="1">ROUND(NORMINV(RAND(),最终结果!$I$8,最终结果!$E$8),0)</f>
        <v>139</v>
      </c>
      <c r="F961">
        <f ca="1">ROUND(NORMINV(RAND(),最终结果!$I$12,最终结果!$E$12),0)</f>
        <v>117</v>
      </c>
      <c r="G961" t="str">
        <f t="shared" ca="1" si="30"/>
        <v>Away</v>
      </c>
      <c r="H961" t="str">
        <f ca="1">IF(E961+最终结果!$G$8&gt;simulation!F961,"W","L")</f>
        <v>W</v>
      </c>
      <c r="I961" t="str">
        <f ca="1">IF(F961+最终结果!$G$12&gt;simulation!E961,"W","L")</f>
        <v>L</v>
      </c>
      <c r="J961" t="str">
        <f ca="1">IF((E961+F961)&gt;最终结果!$H$8,"Over","Under")</f>
        <v>Over</v>
      </c>
    </row>
    <row r="962" spans="3:10" x14ac:dyDescent="0.25">
      <c r="C962">
        <v>961</v>
      </c>
      <c r="D962" t="str">
        <f t="shared" ca="1" si="29"/>
        <v>1</v>
      </c>
      <c r="E962">
        <f ca="1">ROUND(NORMINV(RAND(),最终结果!$I$8,最终结果!$E$8),0)</f>
        <v>131</v>
      </c>
      <c r="F962">
        <f ca="1">ROUND(NORMINV(RAND(),最终结果!$I$12,最终结果!$E$12),0)</f>
        <v>115</v>
      </c>
      <c r="G962" t="str">
        <f t="shared" ca="1" si="30"/>
        <v>Away</v>
      </c>
      <c r="H962" t="str">
        <f ca="1">IF(E962+最终结果!$G$8&gt;simulation!F962,"W","L")</f>
        <v>W</v>
      </c>
      <c r="I962" t="str">
        <f ca="1">IF(F962+最终结果!$G$12&gt;simulation!E962,"W","L")</f>
        <v>L</v>
      </c>
      <c r="J962" t="str">
        <f ca="1">IF((E962+F962)&gt;最终结果!$H$8,"Over","Under")</f>
        <v>Over</v>
      </c>
    </row>
    <row r="963" spans="3:10" x14ac:dyDescent="0.25">
      <c r="C963">
        <v>962</v>
      </c>
      <c r="D963" t="str">
        <f t="shared" ref="D963:D1001" ca="1" si="31">IF(E963=F963,0,IF(E963&gt;F963,"1","-1"))</f>
        <v>1</v>
      </c>
      <c r="E963">
        <f ca="1">ROUND(NORMINV(RAND(),最终结果!$I$8,最终结果!$E$8),0)</f>
        <v>109</v>
      </c>
      <c r="F963">
        <f ca="1">ROUND(NORMINV(RAND(),最终结果!$I$12,最终结果!$E$12),0)</f>
        <v>102</v>
      </c>
      <c r="G963" t="str">
        <f t="shared" ca="1" si="30"/>
        <v>Away</v>
      </c>
      <c r="H963" t="str">
        <f ca="1">IF(E963+最终结果!$G$8&gt;simulation!F963,"W","L")</f>
        <v>W</v>
      </c>
      <c r="I963" t="str">
        <f ca="1">IF(F963+最终结果!$G$12&gt;simulation!E963,"W","L")</f>
        <v>L</v>
      </c>
      <c r="J963" t="str">
        <f ca="1">IF((E963+F963)&gt;最终结果!$H$8,"Over","Under")</f>
        <v>Under</v>
      </c>
    </row>
    <row r="964" spans="3:10" x14ac:dyDescent="0.25">
      <c r="C964">
        <v>963</v>
      </c>
      <c r="D964" t="str">
        <f t="shared" ca="1" si="31"/>
        <v>-1</v>
      </c>
      <c r="E964">
        <f ca="1">ROUND(NORMINV(RAND(),最终结果!$I$8,最终结果!$E$8),0)</f>
        <v>128</v>
      </c>
      <c r="F964">
        <f ca="1">ROUND(NORMINV(RAND(),最终结果!$I$12,最终结果!$E$12),0)</f>
        <v>129</v>
      </c>
      <c r="G964" t="str">
        <f t="shared" ca="1" si="30"/>
        <v>Home</v>
      </c>
      <c r="H964" t="str">
        <f ca="1">IF(E964+最终结果!$G$8&gt;simulation!F964,"W","L")</f>
        <v>W</v>
      </c>
      <c r="I964" t="str">
        <f ca="1">IF(F964+最终结果!$G$12&gt;simulation!E964,"W","L")</f>
        <v>L</v>
      </c>
      <c r="J964" t="str">
        <f ca="1">IF((E964+F964)&gt;最终结果!$H$8,"Over","Under")</f>
        <v>Over</v>
      </c>
    </row>
    <row r="965" spans="3:10" x14ac:dyDescent="0.25">
      <c r="C965">
        <v>964</v>
      </c>
      <c r="D965" t="str">
        <f t="shared" ca="1" si="31"/>
        <v>1</v>
      </c>
      <c r="E965">
        <f ca="1">ROUND(NORMINV(RAND(),最终结果!$I$8,最终结果!$E$8),0)</f>
        <v>137</v>
      </c>
      <c r="F965">
        <f ca="1">ROUND(NORMINV(RAND(),最终结果!$I$12,最终结果!$E$12),0)</f>
        <v>124</v>
      </c>
      <c r="G965" t="str">
        <f t="shared" ca="1" si="30"/>
        <v>Away</v>
      </c>
      <c r="H965" t="str">
        <f ca="1">IF(E965+最终结果!$G$8&gt;simulation!F965,"W","L")</f>
        <v>W</v>
      </c>
      <c r="I965" t="str">
        <f ca="1">IF(F965+最终结果!$G$12&gt;simulation!E965,"W","L")</f>
        <v>L</v>
      </c>
      <c r="J965" t="str">
        <f ca="1">IF((E965+F965)&gt;最终结果!$H$8,"Over","Under")</f>
        <v>Over</v>
      </c>
    </row>
    <row r="966" spans="3:10" x14ac:dyDescent="0.25">
      <c r="C966">
        <v>965</v>
      </c>
      <c r="D966" t="str">
        <f t="shared" ca="1" si="31"/>
        <v>-1</v>
      </c>
      <c r="E966">
        <f ca="1">ROUND(NORMINV(RAND(),最终结果!$I$8,最终结果!$E$8),0)</f>
        <v>100</v>
      </c>
      <c r="F966">
        <f ca="1">ROUND(NORMINV(RAND(),最终结果!$I$12,最终结果!$E$12),0)</f>
        <v>109</v>
      </c>
      <c r="G966" t="str">
        <f t="shared" ca="1" si="30"/>
        <v>Home</v>
      </c>
      <c r="H966" t="str">
        <f ca="1">IF(E966+最终结果!$G$8&gt;simulation!F966,"W","L")</f>
        <v>L</v>
      </c>
      <c r="I966" t="str">
        <f ca="1">IF(F966+最终结果!$G$12&gt;simulation!E966,"W","L")</f>
        <v>W</v>
      </c>
      <c r="J966" t="str">
        <f ca="1">IF((E966+F966)&gt;最终结果!$H$8,"Over","Under")</f>
        <v>Under</v>
      </c>
    </row>
    <row r="967" spans="3:10" x14ac:dyDescent="0.25">
      <c r="C967">
        <v>966</v>
      </c>
      <c r="D967" t="str">
        <f t="shared" ca="1" si="31"/>
        <v>-1</v>
      </c>
      <c r="E967">
        <f ca="1">ROUND(NORMINV(RAND(),最终结果!$I$8,最终结果!$E$8),0)</f>
        <v>111</v>
      </c>
      <c r="F967">
        <f ca="1">ROUND(NORMINV(RAND(),最终结果!$I$12,最终结果!$E$12),0)</f>
        <v>118</v>
      </c>
      <c r="G967" t="str">
        <f t="shared" ca="1" si="30"/>
        <v>Home</v>
      </c>
      <c r="H967" t="str">
        <f ca="1">IF(E967+最终结果!$G$8&gt;simulation!F967,"W","L")</f>
        <v>L</v>
      </c>
      <c r="I967" t="str">
        <f ca="1">IF(F967+最终结果!$G$12&gt;simulation!E967,"W","L")</f>
        <v>W</v>
      </c>
      <c r="J967" t="str">
        <f ca="1">IF((E967+F967)&gt;最终结果!$H$8,"Over","Under")</f>
        <v>Under</v>
      </c>
    </row>
    <row r="968" spans="3:10" x14ac:dyDescent="0.25">
      <c r="C968">
        <v>967</v>
      </c>
      <c r="D968" t="str">
        <f t="shared" ca="1" si="31"/>
        <v>1</v>
      </c>
      <c r="E968">
        <f ca="1">ROUND(NORMINV(RAND(),最终结果!$I$8,最终结果!$E$8),0)</f>
        <v>129</v>
      </c>
      <c r="F968">
        <f ca="1">ROUND(NORMINV(RAND(),最终结果!$I$12,最终结果!$E$12),0)</f>
        <v>97</v>
      </c>
      <c r="G968" t="str">
        <f t="shared" ca="1" si="30"/>
        <v>Away</v>
      </c>
      <c r="H968" t="str">
        <f ca="1">IF(E968+最终结果!$G$8&gt;simulation!F968,"W","L")</f>
        <v>W</v>
      </c>
      <c r="I968" t="str">
        <f ca="1">IF(F968+最终结果!$G$12&gt;simulation!E968,"W","L")</f>
        <v>L</v>
      </c>
      <c r="J968" t="str">
        <f ca="1">IF((E968+F968)&gt;最终结果!$H$8,"Over","Under")</f>
        <v>Under</v>
      </c>
    </row>
    <row r="969" spans="3:10" x14ac:dyDescent="0.25">
      <c r="C969">
        <v>968</v>
      </c>
      <c r="D969" t="str">
        <f t="shared" ca="1" si="31"/>
        <v>-1</v>
      </c>
      <c r="E969">
        <f ca="1">ROUND(NORMINV(RAND(),最终结果!$I$8,最终结果!$E$8),0)</f>
        <v>102</v>
      </c>
      <c r="F969">
        <f ca="1">ROUND(NORMINV(RAND(),最终结果!$I$12,最终结果!$E$12),0)</f>
        <v>121</v>
      </c>
      <c r="G969" t="str">
        <f t="shared" ca="1" si="30"/>
        <v>Home</v>
      </c>
      <c r="H969" t="str">
        <f ca="1">IF(E969+最终结果!$G$8&gt;simulation!F969,"W","L")</f>
        <v>L</v>
      </c>
      <c r="I969" t="str">
        <f ca="1">IF(F969+最终结果!$G$12&gt;simulation!E969,"W","L")</f>
        <v>W</v>
      </c>
      <c r="J969" t="str">
        <f ca="1">IF((E969+F969)&gt;最终结果!$H$8,"Over","Under")</f>
        <v>Under</v>
      </c>
    </row>
    <row r="970" spans="3:10" x14ac:dyDescent="0.25">
      <c r="C970">
        <v>969</v>
      </c>
      <c r="D970">
        <f t="shared" ca="1" si="31"/>
        <v>0</v>
      </c>
      <c r="E970">
        <f ca="1">ROUND(NORMINV(RAND(),最终结果!$I$8,最终结果!$E$8),0)</f>
        <v>113</v>
      </c>
      <c r="F970">
        <f ca="1">ROUND(NORMINV(RAND(),最终结果!$I$12,最终结果!$E$12),0)</f>
        <v>113</v>
      </c>
      <c r="G970" t="str">
        <f t="shared" ca="1" si="30"/>
        <v>OT</v>
      </c>
      <c r="H970" t="str">
        <f ca="1">IF(E970+最终结果!$G$8&gt;simulation!F970,"W","L")</f>
        <v>W</v>
      </c>
      <c r="I970" t="str">
        <f ca="1">IF(F970+最终结果!$G$12&gt;simulation!E970,"W","L")</f>
        <v>L</v>
      </c>
      <c r="J970" t="str">
        <f ca="1">IF((E970+F970)&gt;最终结果!$H$8,"Over","Under")</f>
        <v>Under</v>
      </c>
    </row>
    <row r="971" spans="3:10" x14ac:dyDescent="0.25">
      <c r="C971">
        <v>970</v>
      </c>
      <c r="D971" t="str">
        <f t="shared" ca="1" si="31"/>
        <v>-1</v>
      </c>
      <c r="E971">
        <f ca="1">ROUND(NORMINV(RAND(),最终结果!$I$8,最终结果!$E$8),0)</f>
        <v>118</v>
      </c>
      <c r="F971">
        <f ca="1">ROUND(NORMINV(RAND(),最终结果!$I$12,最终结果!$E$12),0)</f>
        <v>120</v>
      </c>
      <c r="G971" t="str">
        <f t="shared" ca="1" si="30"/>
        <v>Home</v>
      </c>
      <c r="H971" t="str">
        <f ca="1">IF(E971+最终结果!$G$8&gt;simulation!F971,"W","L")</f>
        <v>W</v>
      </c>
      <c r="I971" t="str">
        <f ca="1">IF(F971+最终结果!$G$12&gt;simulation!E971,"W","L")</f>
        <v>L</v>
      </c>
      <c r="J971" t="str">
        <f ca="1">IF((E971+F971)&gt;最终结果!$H$8,"Over","Under")</f>
        <v>Over</v>
      </c>
    </row>
    <row r="972" spans="3:10" x14ac:dyDescent="0.25">
      <c r="C972">
        <v>971</v>
      </c>
      <c r="D972" t="str">
        <f t="shared" ca="1" si="31"/>
        <v>1</v>
      </c>
      <c r="E972">
        <f ca="1">ROUND(NORMINV(RAND(),最终结果!$I$8,最终结果!$E$8),0)</f>
        <v>117</v>
      </c>
      <c r="F972">
        <f ca="1">ROUND(NORMINV(RAND(),最终结果!$I$12,最终结果!$E$12),0)</f>
        <v>107</v>
      </c>
      <c r="G972" t="str">
        <f t="shared" ca="1" si="30"/>
        <v>Away</v>
      </c>
      <c r="H972" t="str">
        <f ca="1">IF(E972+最终结果!$G$8&gt;simulation!F972,"W","L")</f>
        <v>W</v>
      </c>
      <c r="I972" t="str">
        <f ca="1">IF(F972+最终结果!$G$12&gt;simulation!E972,"W","L")</f>
        <v>L</v>
      </c>
      <c r="J972" t="str">
        <f ca="1">IF((E972+F972)&gt;最终结果!$H$8,"Over","Under")</f>
        <v>Under</v>
      </c>
    </row>
    <row r="973" spans="3:10" x14ac:dyDescent="0.25">
      <c r="C973">
        <v>972</v>
      </c>
      <c r="D973" t="str">
        <f t="shared" ca="1" si="31"/>
        <v>1</v>
      </c>
      <c r="E973">
        <f ca="1">ROUND(NORMINV(RAND(),最终结果!$I$8,最终结果!$E$8),0)</f>
        <v>128</v>
      </c>
      <c r="F973">
        <f ca="1">ROUND(NORMINV(RAND(),最终结果!$I$12,最终结果!$E$12),0)</f>
        <v>124</v>
      </c>
      <c r="G973" t="str">
        <f t="shared" ca="1" si="30"/>
        <v>Away</v>
      </c>
      <c r="H973" t="str">
        <f ca="1">IF(E973+最终结果!$G$8&gt;simulation!F973,"W","L")</f>
        <v>W</v>
      </c>
      <c r="I973" t="str">
        <f ca="1">IF(F973+最终结果!$G$12&gt;simulation!E973,"W","L")</f>
        <v>L</v>
      </c>
      <c r="J973" t="str">
        <f ca="1">IF((E973+F973)&gt;最终结果!$H$8,"Over","Under")</f>
        <v>Over</v>
      </c>
    </row>
    <row r="974" spans="3:10" x14ac:dyDescent="0.25">
      <c r="C974">
        <v>973</v>
      </c>
      <c r="D974" t="str">
        <f t="shared" ca="1" si="31"/>
        <v>1</v>
      </c>
      <c r="E974">
        <f ca="1">ROUND(NORMINV(RAND(),最终结果!$I$8,最终结果!$E$8),0)</f>
        <v>134</v>
      </c>
      <c r="F974">
        <f ca="1">ROUND(NORMINV(RAND(),最终结果!$I$12,最终结果!$E$12),0)</f>
        <v>123</v>
      </c>
      <c r="G974" t="str">
        <f t="shared" ref="G974:G1001" ca="1" si="32">IF(E974=F974,"OT",IF(E974&gt;F974,"Away","Home"))</f>
        <v>Away</v>
      </c>
      <c r="H974" t="str">
        <f ca="1">IF(E974+最终结果!$G$8&gt;simulation!F974,"W","L")</f>
        <v>W</v>
      </c>
      <c r="I974" t="str">
        <f ca="1">IF(F974+最终结果!$G$12&gt;simulation!E974,"W","L")</f>
        <v>L</v>
      </c>
      <c r="J974" t="str">
        <f ca="1">IF((E974+F974)&gt;最终结果!$H$8,"Over","Under")</f>
        <v>Over</v>
      </c>
    </row>
    <row r="975" spans="3:10" x14ac:dyDescent="0.25">
      <c r="C975">
        <v>974</v>
      </c>
      <c r="D975" t="str">
        <f t="shared" ca="1" si="31"/>
        <v>-1</v>
      </c>
      <c r="E975">
        <f ca="1">ROUND(NORMINV(RAND(),最终结果!$I$8,最终结果!$E$8),0)</f>
        <v>105</v>
      </c>
      <c r="F975">
        <f ca="1">ROUND(NORMINV(RAND(),最终结果!$I$12,最终结果!$E$12),0)</f>
        <v>111</v>
      </c>
      <c r="G975" t="str">
        <f t="shared" ca="1" si="32"/>
        <v>Home</v>
      </c>
      <c r="H975" t="str">
        <f ca="1">IF(E975+最终结果!$G$8&gt;simulation!F975,"W","L")</f>
        <v>L</v>
      </c>
      <c r="I975" t="str">
        <f ca="1">IF(F975+最终结果!$G$12&gt;simulation!E975,"W","L")</f>
        <v>W</v>
      </c>
      <c r="J975" t="str">
        <f ca="1">IF((E975+F975)&gt;最终结果!$H$8,"Over","Under")</f>
        <v>Under</v>
      </c>
    </row>
    <row r="976" spans="3:10" x14ac:dyDescent="0.25">
      <c r="C976">
        <v>975</v>
      </c>
      <c r="D976" t="str">
        <f t="shared" ca="1" si="31"/>
        <v>1</v>
      </c>
      <c r="E976">
        <f ca="1">ROUND(NORMINV(RAND(),最终结果!$I$8,最终结果!$E$8),0)</f>
        <v>114</v>
      </c>
      <c r="F976">
        <f ca="1">ROUND(NORMINV(RAND(),最终结果!$I$12,最终结果!$E$12),0)</f>
        <v>109</v>
      </c>
      <c r="G976" t="str">
        <f t="shared" ca="1" si="32"/>
        <v>Away</v>
      </c>
      <c r="H976" t="str">
        <f ca="1">IF(E976+最终结果!$G$8&gt;simulation!F976,"W","L")</f>
        <v>W</v>
      </c>
      <c r="I976" t="str">
        <f ca="1">IF(F976+最终结果!$G$12&gt;simulation!E976,"W","L")</f>
        <v>L</v>
      </c>
      <c r="J976" t="str">
        <f ca="1">IF((E976+F976)&gt;最终结果!$H$8,"Over","Under")</f>
        <v>Under</v>
      </c>
    </row>
    <row r="977" spans="3:10" x14ac:dyDescent="0.25">
      <c r="C977">
        <v>976</v>
      </c>
      <c r="D977" t="str">
        <f t="shared" ca="1" si="31"/>
        <v>1</v>
      </c>
      <c r="E977">
        <f ca="1">ROUND(NORMINV(RAND(),最终结果!$I$8,最终结果!$E$8),0)</f>
        <v>119</v>
      </c>
      <c r="F977">
        <f ca="1">ROUND(NORMINV(RAND(),最终结果!$I$12,最终结果!$E$12),0)</f>
        <v>114</v>
      </c>
      <c r="G977" t="str">
        <f t="shared" ca="1" si="32"/>
        <v>Away</v>
      </c>
      <c r="H977" t="str">
        <f ca="1">IF(E977+最终结果!$G$8&gt;simulation!F977,"W","L")</f>
        <v>W</v>
      </c>
      <c r="I977" t="str">
        <f ca="1">IF(F977+最终结果!$G$12&gt;simulation!E977,"W","L")</f>
        <v>L</v>
      </c>
      <c r="J977" t="str">
        <f ca="1">IF((E977+F977)&gt;最终结果!$H$8,"Over","Under")</f>
        <v>Under</v>
      </c>
    </row>
    <row r="978" spans="3:10" x14ac:dyDescent="0.25">
      <c r="C978">
        <v>977</v>
      </c>
      <c r="D978" t="str">
        <f t="shared" ca="1" si="31"/>
        <v>1</v>
      </c>
      <c r="E978">
        <f ca="1">ROUND(NORMINV(RAND(),最终结果!$I$8,最终结果!$E$8),0)</f>
        <v>134</v>
      </c>
      <c r="F978">
        <f ca="1">ROUND(NORMINV(RAND(),最终结果!$I$12,最终结果!$E$12),0)</f>
        <v>129</v>
      </c>
      <c r="G978" t="str">
        <f t="shared" ca="1" si="32"/>
        <v>Away</v>
      </c>
      <c r="H978" t="str">
        <f ca="1">IF(E978+最终结果!$G$8&gt;simulation!F978,"W","L")</f>
        <v>W</v>
      </c>
      <c r="I978" t="str">
        <f ca="1">IF(F978+最终结果!$G$12&gt;simulation!E978,"W","L")</f>
        <v>L</v>
      </c>
      <c r="J978" t="str">
        <f ca="1">IF((E978+F978)&gt;最终结果!$H$8,"Over","Under")</f>
        <v>Over</v>
      </c>
    </row>
    <row r="979" spans="3:10" x14ac:dyDescent="0.25">
      <c r="C979">
        <v>978</v>
      </c>
      <c r="D979" t="str">
        <f t="shared" ca="1" si="31"/>
        <v>-1</v>
      </c>
      <c r="E979">
        <f ca="1">ROUND(NORMINV(RAND(),最终结果!$I$8,最终结果!$E$8),0)</f>
        <v>103</v>
      </c>
      <c r="F979">
        <f ca="1">ROUND(NORMINV(RAND(),最终结果!$I$12,最终结果!$E$12),0)</f>
        <v>110</v>
      </c>
      <c r="G979" t="str">
        <f t="shared" ca="1" si="32"/>
        <v>Home</v>
      </c>
      <c r="H979" t="str">
        <f ca="1">IF(E979+最终结果!$G$8&gt;simulation!F979,"W","L")</f>
        <v>L</v>
      </c>
      <c r="I979" t="str">
        <f ca="1">IF(F979+最终结果!$G$12&gt;simulation!E979,"W","L")</f>
        <v>W</v>
      </c>
      <c r="J979" t="str">
        <f ca="1">IF((E979+F979)&gt;最终结果!$H$8,"Over","Under")</f>
        <v>Under</v>
      </c>
    </row>
    <row r="980" spans="3:10" x14ac:dyDescent="0.25">
      <c r="C980">
        <v>979</v>
      </c>
      <c r="D980" t="str">
        <f t="shared" ca="1" si="31"/>
        <v>-1</v>
      </c>
      <c r="E980">
        <f ca="1">ROUND(NORMINV(RAND(),最终结果!$I$8,最终结果!$E$8),0)</f>
        <v>105</v>
      </c>
      <c r="F980">
        <f ca="1">ROUND(NORMINV(RAND(),最终结果!$I$12,最终结果!$E$12),0)</f>
        <v>127</v>
      </c>
      <c r="G980" t="str">
        <f t="shared" ca="1" si="32"/>
        <v>Home</v>
      </c>
      <c r="H980" t="str">
        <f ca="1">IF(E980+最终结果!$G$8&gt;simulation!F980,"W","L")</f>
        <v>L</v>
      </c>
      <c r="I980" t="str">
        <f ca="1">IF(F980+最终结果!$G$12&gt;simulation!E980,"W","L")</f>
        <v>W</v>
      </c>
      <c r="J980" t="str">
        <f ca="1">IF((E980+F980)&gt;最终结果!$H$8,"Over","Under")</f>
        <v>Under</v>
      </c>
    </row>
    <row r="981" spans="3:10" x14ac:dyDescent="0.25">
      <c r="C981">
        <v>980</v>
      </c>
      <c r="D981" t="str">
        <f t="shared" ca="1" si="31"/>
        <v>1</v>
      </c>
      <c r="E981">
        <f ca="1">ROUND(NORMINV(RAND(),最终结果!$I$8,最终结果!$E$8),0)</f>
        <v>105</v>
      </c>
      <c r="F981">
        <f ca="1">ROUND(NORMINV(RAND(),最终结果!$I$12,最终结果!$E$12),0)</f>
        <v>96</v>
      </c>
      <c r="G981" t="str">
        <f t="shared" ca="1" si="32"/>
        <v>Away</v>
      </c>
      <c r="H981" t="str">
        <f ca="1">IF(E981+最终结果!$G$8&gt;simulation!F981,"W","L")</f>
        <v>W</v>
      </c>
      <c r="I981" t="str">
        <f ca="1">IF(F981+最终结果!$G$12&gt;simulation!E981,"W","L")</f>
        <v>L</v>
      </c>
      <c r="J981" t="str">
        <f ca="1">IF((E981+F981)&gt;最终结果!$H$8,"Over","Under")</f>
        <v>Under</v>
      </c>
    </row>
    <row r="982" spans="3:10" x14ac:dyDescent="0.25">
      <c r="C982">
        <v>981</v>
      </c>
      <c r="D982" t="str">
        <f t="shared" ca="1" si="31"/>
        <v>-1</v>
      </c>
      <c r="E982">
        <f ca="1">ROUND(NORMINV(RAND(),最终结果!$I$8,最终结果!$E$8),0)</f>
        <v>121</v>
      </c>
      <c r="F982">
        <f ca="1">ROUND(NORMINV(RAND(),最终结果!$I$12,最终结果!$E$12),0)</f>
        <v>140</v>
      </c>
      <c r="G982" t="str">
        <f t="shared" ca="1" si="32"/>
        <v>Home</v>
      </c>
      <c r="H982" t="str">
        <f ca="1">IF(E982+最终结果!$G$8&gt;simulation!F982,"W","L")</f>
        <v>L</v>
      </c>
      <c r="I982" t="str">
        <f ca="1">IF(F982+最终结果!$G$12&gt;simulation!E982,"W","L")</f>
        <v>W</v>
      </c>
      <c r="J982" t="str">
        <f ca="1">IF((E982+F982)&gt;最终结果!$H$8,"Over","Under")</f>
        <v>Over</v>
      </c>
    </row>
    <row r="983" spans="3:10" x14ac:dyDescent="0.25">
      <c r="C983">
        <v>982</v>
      </c>
      <c r="D983" t="str">
        <f t="shared" ca="1" si="31"/>
        <v>-1</v>
      </c>
      <c r="E983">
        <f ca="1">ROUND(NORMINV(RAND(),最终结果!$I$8,最终结果!$E$8),0)</f>
        <v>112</v>
      </c>
      <c r="F983">
        <f ca="1">ROUND(NORMINV(RAND(),最终结果!$I$12,最终结果!$E$12),0)</f>
        <v>121</v>
      </c>
      <c r="G983" t="str">
        <f t="shared" ca="1" si="32"/>
        <v>Home</v>
      </c>
      <c r="H983" t="str">
        <f ca="1">IF(E983+最终结果!$G$8&gt;simulation!F983,"W","L")</f>
        <v>L</v>
      </c>
      <c r="I983" t="str">
        <f ca="1">IF(F983+最终结果!$G$12&gt;simulation!E983,"W","L")</f>
        <v>W</v>
      </c>
      <c r="J983" t="str">
        <f ca="1">IF((E983+F983)&gt;最终结果!$H$8,"Over","Under")</f>
        <v>Under</v>
      </c>
    </row>
    <row r="984" spans="3:10" x14ac:dyDescent="0.25">
      <c r="C984">
        <v>983</v>
      </c>
      <c r="D984" t="str">
        <f t="shared" ca="1" si="31"/>
        <v>1</v>
      </c>
      <c r="E984">
        <f ca="1">ROUND(NORMINV(RAND(),最终结果!$I$8,最终结果!$E$8),0)</f>
        <v>117</v>
      </c>
      <c r="F984">
        <f ca="1">ROUND(NORMINV(RAND(),最终结果!$I$12,最终结果!$E$12),0)</f>
        <v>110</v>
      </c>
      <c r="G984" t="str">
        <f t="shared" ca="1" si="32"/>
        <v>Away</v>
      </c>
      <c r="H984" t="str">
        <f ca="1">IF(E984+最终结果!$G$8&gt;simulation!F984,"W","L")</f>
        <v>W</v>
      </c>
      <c r="I984" t="str">
        <f ca="1">IF(F984+最终结果!$G$12&gt;simulation!E984,"W","L")</f>
        <v>L</v>
      </c>
      <c r="J984" t="str">
        <f ca="1">IF((E984+F984)&gt;最终结果!$H$8,"Over","Under")</f>
        <v>Under</v>
      </c>
    </row>
    <row r="985" spans="3:10" x14ac:dyDescent="0.25">
      <c r="C985">
        <v>984</v>
      </c>
      <c r="D985" t="str">
        <f t="shared" ca="1" si="31"/>
        <v>1</v>
      </c>
      <c r="E985">
        <f ca="1">ROUND(NORMINV(RAND(),最终结果!$I$8,最终结果!$E$8),0)</f>
        <v>133</v>
      </c>
      <c r="F985">
        <f ca="1">ROUND(NORMINV(RAND(),最终结果!$I$12,最终结果!$E$12),0)</f>
        <v>116</v>
      </c>
      <c r="G985" t="str">
        <f t="shared" ca="1" si="32"/>
        <v>Away</v>
      </c>
      <c r="H985" t="str">
        <f ca="1">IF(E985+最终结果!$G$8&gt;simulation!F985,"W","L")</f>
        <v>W</v>
      </c>
      <c r="I985" t="str">
        <f ca="1">IF(F985+最终结果!$G$12&gt;simulation!E985,"W","L")</f>
        <v>L</v>
      </c>
      <c r="J985" t="str">
        <f ca="1">IF((E985+F985)&gt;最终结果!$H$8,"Over","Under")</f>
        <v>Over</v>
      </c>
    </row>
    <row r="986" spans="3:10" x14ac:dyDescent="0.25">
      <c r="C986">
        <v>985</v>
      </c>
      <c r="D986" t="str">
        <f t="shared" ca="1" si="31"/>
        <v>1</v>
      </c>
      <c r="E986">
        <f ca="1">ROUND(NORMINV(RAND(),最终结果!$I$8,最终结果!$E$8),0)</f>
        <v>119</v>
      </c>
      <c r="F986">
        <f ca="1">ROUND(NORMINV(RAND(),最终结果!$I$12,最终结果!$E$12),0)</f>
        <v>98</v>
      </c>
      <c r="G986" t="str">
        <f t="shared" ca="1" si="32"/>
        <v>Away</v>
      </c>
      <c r="H986" t="str">
        <f ca="1">IF(E986+最终结果!$G$8&gt;simulation!F986,"W","L")</f>
        <v>W</v>
      </c>
      <c r="I986" t="str">
        <f ca="1">IF(F986+最终结果!$G$12&gt;simulation!E986,"W","L")</f>
        <v>L</v>
      </c>
      <c r="J986" t="str">
        <f ca="1">IF((E986+F986)&gt;最终结果!$H$8,"Over","Under")</f>
        <v>Under</v>
      </c>
    </row>
    <row r="987" spans="3:10" x14ac:dyDescent="0.25">
      <c r="C987">
        <v>986</v>
      </c>
      <c r="D987" t="str">
        <f t="shared" ca="1" si="31"/>
        <v>1</v>
      </c>
      <c r="E987">
        <f ca="1">ROUND(NORMINV(RAND(),最终结果!$I$8,最终结果!$E$8),0)</f>
        <v>113</v>
      </c>
      <c r="F987">
        <f ca="1">ROUND(NORMINV(RAND(),最终结果!$I$12,最终结果!$E$12),0)</f>
        <v>104</v>
      </c>
      <c r="G987" t="str">
        <f t="shared" ca="1" si="32"/>
        <v>Away</v>
      </c>
      <c r="H987" t="str">
        <f ca="1">IF(E987+最终结果!$G$8&gt;simulation!F987,"W","L")</f>
        <v>W</v>
      </c>
      <c r="I987" t="str">
        <f ca="1">IF(F987+最终结果!$G$12&gt;simulation!E987,"W","L")</f>
        <v>L</v>
      </c>
      <c r="J987" t="str">
        <f ca="1">IF((E987+F987)&gt;最终结果!$H$8,"Over","Under")</f>
        <v>Under</v>
      </c>
    </row>
    <row r="988" spans="3:10" x14ac:dyDescent="0.25">
      <c r="C988">
        <v>987</v>
      </c>
      <c r="D988" t="str">
        <f t="shared" ca="1" si="31"/>
        <v>1</v>
      </c>
      <c r="E988">
        <f ca="1">ROUND(NORMINV(RAND(),最终结果!$I$8,最终结果!$E$8),0)</f>
        <v>147</v>
      </c>
      <c r="F988">
        <f ca="1">ROUND(NORMINV(RAND(),最终结果!$I$12,最终结果!$E$12),0)</f>
        <v>107</v>
      </c>
      <c r="G988" t="str">
        <f t="shared" ca="1" si="32"/>
        <v>Away</v>
      </c>
      <c r="H988" t="str">
        <f ca="1">IF(E988+最终结果!$G$8&gt;simulation!F988,"W","L")</f>
        <v>W</v>
      </c>
      <c r="I988" t="str">
        <f ca="1">IF(F988+最终结果!$G$12&gt;simulation!E988,"W","L")</f>
        <v>L</v>
      </c>
      <c r="J988" t="str">
        <f ca="1">IF((E988+F988)&gt;最终结果!$H$8,"Over","Under")</f>
        <v>Over</v>
      </c>
    </row>
    <row r="989" spans="3:10" x14ac:dyDescent="0.25">
      <c r="C989">
        <v>988</v>
      </c>
      <c r="D989">
        <f t="shared" ca="1" si="31"/>
        <v>0</v>
      </c>
      <c r="E989">
        <f ca="1">ROUND(NORMINV(RAND(),最终结果!$I$8,最终结果!$E$8),0)</f>
        <v>124</v>
      </c>
      <c r="F989">
        <f ca="1">ROUND(NORMINV(RAND(),最终结果!$I$12,最终结果!$E$12),0)</f>
        <v>124</v>
      </c>
      <c r="G989" t="str">
        <f t="shared" ca="1" si="32"/>
        <v>OT</v>
      </c>
      <c r="H989" t="str">
        <f ca="1">IF(E989+最终结果!$G$8&gt;simulation!F989,"W","L")</f>
        <v>W</v>
      </c>
      <c r="I989" t="str">
        <f ca="1">IF(F989+最终结果!$G$12&gt;simulation!E989,"W","L")</f>
        <v>L</v>
      </c>
      <c r="J989" t="str">
        <f ca="1">IF((E989+F989)&gt;最终结果!$H$8,"Over","Under")</f>
        <v>Over</v>
      </c>
    </row>
    <row r="990" spans="3:10" x14ac:dyDescent="0.25">
      <c r="C990">
        <v>989</v>
      </c>
      <c r="D990" t="str">
        <f t="shared" ca="1" si="31"/>
        <v>-1</v>
      </c>
      <c r="E990">
        <f ca="1">ROUND(NORMINV(RAND(),最终结果!$I$8,最终结果!$E$8),0)</f>
        <v>133</v>
      </c>
      <c r="F990">
        <f ca="1">ROUND(NORMINV(RAND(),最终结果!$I$12,最终结果!$E$12),0)</f>
        <v>135</v>
      </c>
      <c r="G990" t="str">
        <f t="shared" ca="1" si="32"/>
        <v>Home</v>
      </c>
      <c r="H990" t="str">
        <f ca="1">IF(E990+最终结果!$G$8&gt;simulation!F990,"W","L")</f>
        <v>W</v>
      </c>
      <c r="I990" t="str">
        <f ca="1">IF(F990+最终结果!$G$12&gt;simulation!E990,"W","L")</f>
        <v>L</v>
      </c>
      <c r="J990" t="str">
        <f ca="1">IF((E990+F990)&gt;最终结果!$H$8,"Over","Under")</f>
        <v>Over</v>
      </c>
    </row>
    <row r="991" spans="3:10" x14ac:dyDescent="0.25">
      <c r="C991">
        <v>990</v>
      </c>
      <c r="D991" t="str">
        <f t="shared" ca="1" si="31"/>
        <v>-1</v>
      </c>
      <c r="E991">
        <f ca="1">ROUND(NORMINV(RAND(),最终结果!$I$8,最终结果!$E$8),0)</f>
        <v>110</v>
      </c>
      <c r="F991">
        <f ca="1">ROUND(NORMINV(RAND(),最终结果!$I$12,最终结果!$E$12),0)</f>
        <v>123</v>
      </c>
      <c r="G991" t="str">
        <f t="shared" ca="1" si="32"/>
        <v>Home</v>
      </c>
      <c r="H991" t="str">
        <f ca="1">IF(E991+最终结果!$G$8&gt;simulation!F991,"W","L")</f>
        <v>L</v>
      </c>
      <c r="I991" t="str">
        <f ca="1">IF(F991+最终结果!$G$12&gt;simulation!E991,"W","L")</f>
        <v>W</v>
      </c>
      <c r="J991" t="str">
        <f ca="1">IF((E991+F991)&gt;最终结果!$H$8,"Over","Under")</f>
        <v>Under</v>
      </c>
    </row>
    <row r="992" spans="3:10" x14ac:dyDescent="0.25">
      <c r="C992">
        <v>991</v>
      </c>
      <c r="D992" t="str">
        <f t="shared" ca="1" si="31"/>
        <v>-1</v>
      </c>
      <c r="E992">
        <f ca="1">ROUND(NORMINV(RAND(),最终结果!$I$8,最终结果!$E$8),0)</f>
        <v>101</v>
      </c>
      <c r="F992">
        <f ca="1">ROUND(NORMINV(RAND(),最终结果!$I$12,最终结果!$E$12),0)</f>
        <v>136</v>
      </c>
      <c r="G992" t="str">
        <f t="shared" ca="1" si="32"/>
        <v>Home</v>
      </c>
      <c r="H992" t="str">
        <f ca="1">IF(E992+最终结果!$G$8&gt;simulation!F992,"W","L")</f>
        <v>L</v>
      </c>
      <c r="I992" t="str">
        <f ca="1">IF(F992+最终结果!$G$12&gt;simulation!E992,"W","L")</f>
        <v>W</v>
      </c>
      <c r="J992" t="str">
        <f ca="1">IF((E992+F992)&gt;最终结果!$H$8,"Over","Under")</f>
        <v>Under</v>
      </c>
    </row>
    <row r="993" spans="3:10" x14ac:dyDescent="0.25">
      <c r="C993">
        <v>992</v>
      </c>
      <c r="D993" t="str">
        <f t="shared" ca="1" si="31"/>
        <v>-1</v>
      </c>
      <c r="E993">
        <f ca="1">ROUND(NORMINV(RAND(),最终结果!$I$8,最终结果!$E$8),0)</f>
        <v>99</v>
      </c>
      <c r="F993">
        <f ca="1">ROUND(NORMINV(RAND(),最终结果!$I$12,最终结果!$E$12),0)</f>
        <v>118</v>
      </c>
      <c r="G993" t="str">
        <f t="shared" ca="1" si="32"/>
        <v>Home</v>
      </c>
      <c r="H993" t="str">
        <f ca="1">IF(E993+最终结果!$G$8&gt;simulation!F993,"W","L")</f>
        <v>L</v>
      </c>
      <c r="I993" t="str">
        <f ca="1">IF(F993+最终结果!$G$12&gt;simulation!E993,"W","L")</f>
        <v>W</v>
      </c>
      <c r="J993" t="str">
        <f ca="1">IF((E993+F993)&gt;最终结果!$H$8,"Over","Under")</f>
        <v>Under</v>
      </c>
    </row>
    <row r="994" spans="3:10" x14ac:dyDescent="0.25">
      <c r="C994">
        <v>993</v>
      </c>
      <c r="D994" t="str">
        <f t="shared" ca="1" si="31"/>
        <v>1</v>
      </c>
      <c r="E994">
        <f ca="1">ROUND(NORMINV(RAND(),最终结果!$I$8,最终结果!$E$8),0)</f>
        <v>132</v>
      </c>
      <c r="F994">
        <f ca="1">ROUND(NORMINV(RAND(),最终结果!$I$12,最终结果!$E$12),0)</f>
        <v>120</v>
      </c>
      <c r="G994" t="str">
        <f t="shared" ca="1" si="32"/>
        <v>Away</v>
      </c>
      <c r="H994" t="str">
        <f ca="1">IF(E994+最终结果!$G$8&gt;simulation!F994,"W","L")</f>
        <v>W</v>
      </c>
      <c r="I994" t="str">
        <f ca="1">IF(F994+最终结果!$G$12&gt;simulation!E994,"W","L")</f>
        <v>L</v>
      </c>
      <c r="J994" t="str">
        <f ca="1">IF((E994+F994)&gt;最终结果!$H$8,"Over","Under")</f>
        <v>Over</v>
      </c>
    </row>
    <row r="995" spans="3:10" x14ac:dyDescent="0.25">
      <c r="C995">
        <v>994</v>
      </c>
      <c r="D995" t="str">
        <f t="shared" ca="1" si="31"/>
        <v>-1</v>
      </c>
      <c r="E995">
        <f ca="1">ROUND(NORMINV(RAND(),最终结果!$I$8,最终结果!$E$8),0)</f>
        <v>100</v>
      </c>
      <c r="F995">
        <f ca="1">ROUND(NORMINV(RAND(),最终结果!$I$12,最终结果!$E$12),0)</f>
        <v>125</v>
      </c>
      <c r="G995" t="str">
        <f t="shared" ca="1" si="32"/>
        <v>Home</v>
      </c>
      <c r="H995" t="str">
        <f ca="1">IF(E995+最终结果!$G$8&gt;simulation!F995,"W","L")</f>
        <v>L</v>
      </c>
      <c r="I995" t="str">
        <f ca="1">IF(F995+最终结果!$G$12&gt;simulation!E995,"W","L")</f>
        <v>W</v>
      </c>
      <c r="J995" t="str">
        <f ca="1">IF((E995+F995)&gt;最终结果!$H$8,"Over","Under")</f>
        <v>Under</v>
      </c>
    </row>
    <row r="996" spans="3:10" x14ac:dyDescent="0.25">
      <c r="C996">
        <v>995</v>
      </c>
      <c r="D996" t="str">
        <f t="shared" ca="1" si="31"/>
        <v>-1</v>
      </c>
      <c r="E996">
        <f ca="1">ROUND(NORMINV(RAND(),最终结果!$I$8,最终结果!$E$8),0)</f>
        <v>101</v>
      </c>
      <c r="F996">
        <f ca="1">ROUND(NORMINV(RAND(),最终结果!$I$12,最终结果!$E$12),0)</f>
        <v>127</v>
      </c>
      <c r="G996" t="str">
        <f t="shared" ca="1" si="32"/>
        <v>Home</v>
      </c>
      <c r="H996" t="str">
        <f ca="1">IF(E996+最终结果!$G$8&gt;simulation!F996,"W","L")</f>
        <v>L</v>
      </c>
      <c r="I996" t="str">
        <f ca="1">IF(F996+最终结果!$G$12&gt;simulation!E996,"W","L")</f>
        <v>W</v>
      </c>
      <c r="J996" t="str">
        <f ca="1">IF((E996+F996)&gt;最终结果!$H$8,"Over","Under")</f>
        <v>Under</v>
      </c>
    </row>
    <row r="997" spans="3:10" x14ac:dyDescent="0.25">
      <c r="C997">
        <v>996</v>
      </c>
      <c r="D997" t="str">
        <f t="shared" ca="1" si="31"/>
        <v>1</v>
      </c>
      <c r="E997">
        <f ca="1">ROUND(NORMINV(RAND(),最终结果!$I$8,最终结果!$E$8),0)</f>
        <v>130</v>
      </c>
      <c r="F997">
        <f ca="1">ROUND(NORMINV(RAND(),最终结果!$I$12,最终结果!$E$12),0)</f>
        <v>118</v>
      </c>
      <c r="G997" t="str">
        <f t="shared" ca="1" si="32"/>
        <v>Away</v>
      </c>
      <c r="H997" t="str">
        <f ca="1">IF(E997+最终结果!$G$8&gt;simulation!F997,"W","L")</f>
        <v>W</v>
      </c>
      <c r="I997" t="str">
        <f ca="1">IF(F997+最终结果!$G$12&gt;simulation!E997,"W","L")</f>
        <v>L</v>
      </c>
      <c r="J997" t="str">
        <f ca="1">IF((E997+F997)&gt;最终结果!$H$8,"Over","Under")</f>
        <v>Over</v>
      </c>
    </row>
    <row r="998" spans="3:10" x14ac:dyDescent="0.25">
      <c r="C998">
        <v>997</v>
      </c>
      <c r="D998" t="str">
        <f t="shared" ca="1" si="31"/>
        <v>-1</v>
      </c>
      <c r="E998">
        <f ca="1">ROUND(NORMINV(RAND(),最终结果!$I$8,最终结果!$E$8),0)</f>
        <v>104</v>
      </c>
      <c r="F998">
        <f ca="1">ROUND(NORMINV(RAND(),最终结果!$I$12,最终结果!$E$12),0)</f>
        <v>127</v>
      </c>
      <c r="G998" t="str">
        <f t="shared" ca="1" si="32"/>
        <v>Home</v>
      </c>
      <c r="H998" t="str">
        <f ca="1">IF(E998+最终结果!$G$8&gt;simulation!F998,"W","L")</f>
        <v>L</v>
      </c>
      <c r="I998" t="str">
        <f ca="1">IF(F998+最终结果!$G$12&gt;simulation!E998,"W","L")</f>
        <v>W</v>
      </c>
      <c r="J998" t="str">
        <f ca="1">IF((E998+F998)&gt;最终结果!$H$8,"Over","Under")</f>
        <v>Under</v>
      </c>
    </row>
    <row r="999" spans="3:10" x14ac:dyDescent="0.25">
      <c r="C999">
        <v>998</v>
      </c>
      <c r="D999" t="str">
        <f t="shared" ca="1" si="31"/>
        <v>-1</v>
      </c>
      <c r="E999">
        <f ca="1">ROUND(NORMINV(RAND(),最终结果!$I$8,最终结果!$E$8),0)</f>
        <v>103</v>
      </c>
      <c r="F999">
        <f ca="1">ROUND(NORMINV(RAND(),最终结果!$I$12,最终结果!$E$12),0)</f>
        <v>112</v>
      </c>
      <c r="G999" t="str">
        <f t="shared" ca="1" si="32"/>
        <v>Home</v>
      </c>
      <c r="H999" t="str">
        <f ca="1">IF(E999+最终结果!$G$8&gt;simulation!F999,"W","L")</f>
        <v>L</v>
      </c>
      <c r="I999" t="str">
        <f ca="1">IF(F999+最终结果!$G$12&gt;simulation!E999,"W","L")</f>
        <v>W</v>
      </c>
      <c r="J999" t="str">
        <f ca="1">IF((E999+F999)&gt;最终结果!$H$8,"Over","Under")</f>
        <v>Under</v>
      </c>
    </row>
    <row r="1000" spans="3:10" x14ac:dyDescent="0.25">
      <c r="C1000">
        <v>999</v>
      </c>
      <c r="D1000" t="str">
        <f t="shared" ca="1" si="31"/>
        <v>-1</v>
      </c>
      <c r="E1000">
        <f ca="1">ROUND(NORMINV(RAND(),最终结果!$I$8,最终结果!$E$8),0)</f>
        <v>125</v>
      </c>
      <c r="F1000">
        <f ca="1">ROUND(NORMINV(RAND(),最终结果!$I$12,最终结果!$E$12),0)</f>
        <v>132</v>
      </c>
      <c r="G1000" t="str">
        <f t="shared" ca="1" si="32"/>
        <v>Home</v>
      </c>
      <c r="H1000" t="str">
        <f ca="1">IF(E1000+最终结果!$G$8&gt;simulation!F1000,"W","L")</f>
        <v>L</v>
      </c>
      <c r="I1000" t="str">
        <f ca="1">IF(F1000+最终结果!$G$12&gt;simulation!E1000,"W","L")</f>
        <v>W</v>
      </c>
      <c r="J1000" t="str">
        <f ca="1">IF((E1000+F1000)&gt;最终结果!$H$8,"Over","Under")</f>
        <v>Over</v>
      </c>
    </row>
    <row r="1001" spans="3:10" x14ac:dyDescent="0.25">
      <c r="C1001">
        <v>1000</v>
      </c>
      <c r="D1001" t="str">
        <f t="shared" ca="1" si="31"/>
        <v>1</v>
      </c>
      <c r="E1001">
        <f ca="1">ROUND(NORMINV(RAND(),最终结果!$I$8,最终结果!$E$8),0)</f>
        <v>118</v>
      </c>
      <c r="F1001">
        <f ca="1">ROUND(NORMINV(RAND(),最终结果!$I$12,最终结果!$E$12),0)</f>
        <v>117</v>
      </c>
      <c r="G1001" t="str">
        <f t="shared" ca="1" si="32"/>
        <v>Away</v>
      </c>
      <c r="H1001" t="str">
        <f ca="1">IF(E1001+最终结果!$G$8&gt;simulation!F1001,"W","L")</f>
        <v>W</v>
      </c>
      <c r="I1001" t="str">
        <f ca="1">IF(F1001+最终结果!$G$12&gt;simulation!E1001,"W","L")</f>
        <v>L</v>
      </c>
      <c r="J1001" t="str">
        <f ca="1">IF((E1001+F1001)&gt;最终结果!$H$8,"Over","Under")</f>
        <v>Under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1ED8-6EC1-435D-8836-4E59DB423AC6}">
  <dimension ref="C1:W30"/>
  <sheetViews>
    <sheetView workbookViewId="0">
      <selection activeCell="D8" sqref="D8"/>
    </sheetView>
  </sheetViews>
  <sheetFormatPr defaultRowHeight="13.8" x14ac:dyDescent="0.25"/>
  <cols>
    <col min="5" max="5" width="9.109375" bestFit="1" customWidth="1"/>
    <col min="6" max="6" width="13.5546875" customWidth="1"/>
    <col min="7" max="7" width="13" customWidth="1"/>
    <col min="9" max="9" width="14.77734375" customWidth="1"/>
    <col min="12" max="12" width="11.44140625" customWidth="1"/>
    <col min="13" max="13" width="15.109375" customWidth="1"/>
    <col min="14" max="14" width="9.109375" bestFit="1" customWidth="1"/>
  </cols>
  <sheetData>
    <row r="1" spans="3:23" x14ac:dyDescent="0.25">
      <c r="W1" s="3" t="s">
        <v>25</v>
      </c>
    </row>
    <row r="2" spans="3:23" x14ac:dyDescent="0.25">
      <c r="W2" s="2" t="s">
        <v>22</v>
      </c>
    </row>
    <row r="3" spans="3:23" x14ac:dyDescent="0.25">
      <c r="W3" s="2" t="s">
        <v>26</v>
      </c>
    </row>
    <row r="4" spans="3:23" x14ac:dyDescent="0.25">
      <c r="W4" s="2" t="s">
        <v>8</v>
      </c>
    </row>
    <row r="5" spans="3:23" x14ac:dyDescent="0.25">
      <c r="W5" s="2" t="s">
        <v>24</v>
      </c>
    </row>
    <row r="6" spans="3:23" x14ac:dyDescent="0.25">
      <c r="W6" s="3" t="s">
        <v>31</v>
      </c>
    </row>
    <row r="7" spans="3:23" x14ac:dyDescent="0.25">
      <c r="E7" t="s">
        <v>687</v>
      </c>
      <c r="F7" t="s">
        <v>688</v>
      </c>
      <c r="G7" t="s">
        <v>689</v>
      </c>
      <c r="H7" t="s">
        <v>690</v>
      </c>
      <c r="I7" t="s">
        <v>691</v>
      </c>
      <c r="J7" t="s">
        <v>697</v>
      </c>
      <c r="K7" t="s">
        <v>698</v>
      </c>
      <c r="L7" t="s">
        <v>699</v>
      </c>
      <c r="M7" t="s">
        <v>700</v>
      </c>
      <c r="N7" t="s">
        <v>719</v>
      </c>
      <c r="O7" t="s">
        <v>720</v>
      </c>
      <c r="P7" t="s">
        <v>721</v>
      </c>
      <c r="Q7" t="s">
        <v>722</v>
      </c>
      <c r="W7" s="2" t="s">
        <v>34</v>
      </c>
    </row>
    <row r="8" spans="3:23" x14ac:dyDescent="0.25">
      <c r="C8" t="s">
        <v>38</v>
      </c>
      <c r="D8" t="s">
        <v>727</v>
      </c>
      <c r="E8">
        <f>_xlfn.STDEV.P('篮网egular Season Table (2)'!G83:G154)</f>
        <v>12.063289569885718</v>
      </c>
      <c r="F8">
        <f>AVERAGE(VLOOKUP(D8,Table_0[[Team]:[Away]],6,FALSE))</f>
        <v>109</v>
      </c>
      <c r="G8">
        <v>3</v>
      </c>
      <c r="H8">
        <v>237</v>
      </c>
      <c r="I8">
        <v>113.5</v>
      </c>
      <c r="J8">
        <f ca="1">COUNTIFS(simulation!G:G,"Away")</f>
        <v>398</v>
      </c>
      <c r="K8" s="6">
        <f ca="1">J8/(J8+J12)*100%</f>
        <v>0.40862422997946612</v>
      </c>
      <c r="L8">
        <f ca="1">COUNTIFS(simulation!H:H,"W")</f>
        <v>468</v>
      </c>
      <c r="M8" s="6">
        <f ca="1">L8/(L8+L12)</f>
        <v>0.47464503042596351</v>
      </c>
      <c r="N8" s="6">
        <f ca="1">COUNTIF(simulation!J:J,"Over")/COUNTA(simulation!J2:J999999)</f>
        <v>0.32</v>
      </c>
      <c r="O8" s="6">
        <f ca="1">COUNTIF(simulation!J:J,"Under")/COUNTA(simulation!J2:J999999)</f>
        <v>0.68</v>
      </c>
      <c r="P8">
        <f ca="1">MAX(simulation!E:E)</f>
        <v>152</v>
      </c>
      <c r="Q8">
        <f ca="1">MIN(simulation!E:E)</f>
        <v>68</v>
      </c>
      <c r="W8" s="3" t="s">
        <v>33</v>
      </c>
    </row>
    <row r="9" spans="3:23" x14ac:dyDescent="0.25">
      <c r="M9" s="6"/>
      <c r="W9" s="3" t="s">
        <v>37</v>
      </c>
    </row>
    <row r="10" spans="3:23" x14ac:dyDescent="0.25">
      <c r="W10" s="2" t="s">
        <v>12</v>
      </c>
    </row>
    <row r="11" spans="3:23" x14ac:dyDescent="0.25">
      <c r="W11" s="2" t="s">
        <v>30</v>
      </c>
    </row>
    <row r="12" spans="3:23" x14ac:dyDescent="0.25">
      <c r="C12" t="s">
        <v>39</v>
      </c>
      <c r="D12" t="s">
        <v>728</v>
      </c>
      <c r="E12">
        <f>_xlfn.STDEV.P('湖人Regular Season Table (3)'!G83:G154)</f>
        <v>11.841473139399131</v>
      </c>
      <c r="F12">
        <f>AVERAGE(VLOOKUP(D12,Table_0[[Team]:[Home]],5,FALSE),VLOOKUP(最终结果!D8,Table_0__2[[Team]:[Away]],6,FALSE))</f>
        <v>114.05</v>
      </c>
      <c r="G12">
        <v>-3</v>
      </c>
      <c r="H12">
        <v>237</v>
      </c>
      <c r="I12">
        <v>116.5</v>
      </c>
      <c r="J12">
        <f ca="1">COUNTIFS(simulation!G:G,"Home")</f>
        <v>576</v>
      </c>
      <c r="K12" s="6">
        <f ca="1">J12/(J12+J8)</f>
        <v>0.59137577002053388</v>
      </c>
      <c r="L12">
        <f ca="1">COUNTIFS(simulation!I:I,"W")</f>
        <v>518</v>
      </c>
      <c r="M12" s="6">
        <f ca="1">L12/(L12+L8)</f>
        <v>0.52535496957403649</v>
      </c>
      <c r="P12">
        <f ca="1">MAX(simulation!F:F)</f>
        <v>159</v>
      </c>
      <c r="Q12">
        <f ca="1">MIN(simulation!F:F)</f>
        <v>79</v>
      </c>
      <c r="W12" s="3" t="s">
        <v>13</v>
      </c>
    </row>
    <row r="13" spans="3:23" x14ac:dyDescent="0.25">
      <c r="W13" s="3" t="s">
        <v>27</v>
      </c>
    </row>
    <row r="14" spans="3:23" x14ac:dyDescent="0.25">
      <c r="W14" s="3" t="s">
        <v>11</v>
      </c>
    </row>
    <row r="15" spans="3:23" x14ac:dyDescent="0.25">
      <c r="W15" s="2" t="s">
        <v>16</v>
      </c>
    </row>
    <row r="16" spans="3:23" x14ac:dyDescent="0.25">
      <c r="G16" t="s">
        <v>725</v>
      </c>
      <c r="H16" s="7">
        <v>0.57999999999999996</v>
      </c>
      <c r="W16" s="3" t="s">
        <v>17</v>
      </c>
    </row>
    <row r="17" spans="7:23" x14ac:dyDescent="0.25">
      <c r="G17" t="s">
        <v>726</v>
      </c>
      <c r="H17" s="7">
        <v>0.42</v>
      </c>
      <c r="W17" s="3" t="s">
        <v>21</v>
      </c>
    </row>
    <row r="18" spans="7:23" x14ac:dyDescent="0.25">
      <c r="W18" s="3" t="s">
        <v>29</v>
      </c>
    </row>
    <row r="19" spans="7:23" x14ac:dyDescent="0.25">
      <c r="W19" s="2" t="s">
        <v>32</v>
      </c>
    </row>
    <row r="20" spans="7:23" x14ac:dyDescent="0.25">
      <c r="W20" s="3" t="s">
        <v>9</v>
      </c>
    </row>
    <row r="21" spans="7:23" x14ac:dyDescent="0.25">
      <c r="W21" s="2" t="s">
        <v>36</v>
      </c>
    </row>
    <row r="22" spans="7:23" x14ac:dyDescent="0.25">
      <c r="W22" s="3" t="s">
        <v>35</v>
      </c>
    </row>
    <row r="23" spans="7:23" x14ac:dyDescent="0.25">
      <c r="W23" s="2" t="s">
        <v>18</v>
      </c>
    </row>
    <row r="24" spans="7:23" x14ac:dyDescent="0.25">
      <c r="W24" s="3" t="s">
        <v>23</v>
      </c>
    </row>
    <row r="25" spans="7:23" x14ac:dyDescent="0.25">
      <c r="W25" s="2" t="s">
        <v>14</v>
      </c>
    </row>
    <row r="26" spans="7:23" x14ac:dyDescent="0.25">
      <c r="W26" s="3" t="s">
        <v>19</v>
      </c>
    </row>
    <row r="27" spans="7:23" x14ac:dyDescent="0.25">
      <c r="W27" s="2" t="s">
        <v>20</v>
      </c>
    </row>
    <row r="28" spans="7:23" x14ac:dyDescent="0.25">
      <c r="W28" s="2" t="s">
        <v>28</v>
      </c>
    </row>
    <row r="29" spans="7:23" x14ac:dyDescent="0.25">
      <c r="W29" s="2" t="s">
        <v>10</v>
      </c>
    </row>
    <row r="30" spans="7:23" x14ac:dyDescent="0.25">
      <c r="W30" s="3" t="s">
        <v>15</v>
      </c>
    </row>
  </sheetData>
  <sortState xmlns:xlrd2="http://schemas.microsoft.com/office/spreadsheetml/2017/richdata2" ref="W1:W30">
    <sortCondition ref="W1:W30"/>
  </sortState>
  <phoneticPr fontId="1" type="noConversion"/>
  <dataValidations count="1">
    <dataValidation type="list" allowBlank="1" showInputMessage="1" showErrorMessage="1" sqref="D8 D12" xr:uid="{15E45C59-1F38-49D5-A394-FC114F5A9F98}">
      <formula1>$W$1:$W$30</formula1>
    </dataValidation>
  </dataValidations>
  <pageMargins left="0.7" right="0.7" top="0.75" bottom="0.75" header="0.3" footer="0.3"/>
  <pageSetup paperSize="9" orientation="portrait" r:id="rId1"/>
  <ignoredErrors>
    <ignoredError sqref="L12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A5CCBE-BD5E-4C75-952D-EA5424F1E3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进攻得分</vt:lpstr>
      <vt:lpstr>防守得分</vt:lpstr>
      <vt:lpstr>篮网egular Season Table (2)</vt:lpstr>
      <vt:lpstr>湖人Regular Season Table (3)</vt:lpstr>
      <vt:lpstr>simulation</vt:lpstr>
      <vt:lpstr>最终结果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2021-11-06T09:19:43Z</dcterms:modified>
</cp:coreProperties>
</file>